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naseem/Coding/BER/volume_transfers_01222026/claude/REE/DBTL_1_V2/analysis/"/>
    </mc:Choice>
  </mc:AlternateContent>
  <xr:revisionPtr revIDLastSave="0" documentId="13_ncr:1_{1E7B4778-B2A3-CF4A-B439-EDF4B7658961}" xr6:coauthVersionLast="47" xr6:coauthVersionMax="47" xr10:uidLastSave="{00000000-0000-0000-0000-000000000000}"/>
  <bookViews>
    <workbookView xWindow="2960" yWindow="1700" windowWidth="31600" windowHeight="17660" xr2:uid="{A52D3FDE-B6ED-9B4A-BD15-65F912234116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2" l="1"/>
  <c r="R4" i="2"/>
  <c r="R3" i="2"/>
  <c r="S3" i="2"/>
  <c r="T3" i="2"/>
  <c r="U3" i="2"/>
  <c r="S4" i="2"/>
  <c r="T4" i="2"/>
  <c r="U4" i="2"/>
  <c r="R5" i="2"/>
  <c r="S5" i="2"/>
  <c r="T5" i="2"/>
  <c r="U5" i="2"/>
  <c r="R6" i="2"/>
  <c r="S6" i="2"/>
  <c r="T6" i="2"/>
  <c r="U6" i="2"/>
  <c r="R7" i="2"/>
  <c r="S7" i="2"/>
  <c r="T7" i="2"/>
  <c r="U7" i="2"/>
  <c r="R8" i="2"/>
  <c r="S8" i="2"/>
  <c r="T8" i="2"/>
  <c r="U8" i="2"/>
  <c r="R9" i="2"/>
  <c r="S9" i="2"/>
  <c r="T9" i="2"/>
  <c r="U9" i="2"/>
  <c r="R10" i="2"/>
  <c r="S10" i="2"/>
  <c r="T10" i="2"/>
  <c r="U10" i="2"/>
  <c r="R11" i="2"/>
  <c r="S11" i="2"/>
  <c r="T11" i="2"/>
  <c r="U11" i="2"/>
  <c r="R12" i="2"/>
  <c r="S12" i="2"/>
  <c r="T12" i="2"/>
  <c r="U12" i="2"/>
  <c r="R13" i="2"/>
  <c r="S13" i="2"/>
  <c r="T13" i="2"/>
  <c r="U13" i="2"/>
  <c r="R14" i="2"/>
  <c r="S14" i="2"/>
  <c r="T14" i="2"/>
  <c r="U14" i="2"/>
  <c r="R15" i="2"/>
  <c r="S15" i="2"/>
  <c r="T15" i="2"/>
  <c r="U15" i="2"/>
  <c r="R16" i="2"/>
  <c r="S16" i="2"/>
  <c r="T16" i="2"/>
  <c r="U16" i="2"/>
  <c r="R17" i="2"/>
  <c r="S17" i="2"/>
  <c r="T17" i="2"/>
  <c r="U17" i="2"/>
  <c r="R18" i="2"/>
  <c r="S18" i="2"/>
  <c r="T18" i="2"/>
  <c r="U18" i="2"/>
  <c r="R19" i="2"/>
  <c r="S19" i="2"/>
  <c r="T19" i="2"/>
  <c r="U19" i="2"/>
  <c r="R20" i="2"/>
  <c r="S20" i="2"/>
  <c r="T20" i="2"/>
  <c r="U20" i="2"/>
  <c r="R21" i="2"/>
  <c r="S21" i="2"/>
  <c r="T21" i="2"/>
  <c r="U21" i="2"/>
  <c r="R22" i="2"/>
  <c r="S22" i="2"/>
  <c r="T22" i="2"/>
  <c r="U22" i="2"/>
  <c r="R23" i="2"/>
  <c r="S23" i="2"/>
  <c r="T23" i="2"/>
  <c r="U23" i="2"/>
  <c r="R24" i="2"/>
  <c r="S24" i="2"/>
  <c r="T24" i="2"/>
  <c r="U24" i="2"/>
  <c r="R25" i="2"/>
  <c r="S25" i="2"/>
  <c r="T25" i="2"/>
  <c r="U25" i="2"/>
  <c r="R26" i="2"/>
  <c r="S26" i="2"/>
  <c r="T26" i="2"/>
  <c r="U26" i="2"/>
  <c r="R27" i="2"/>
  <c r="S27" i="2"/>
  <c r="T27" i="2"/>
  <c r="U27" i="2"/>
  <c r="R28" i="2"/>
  <c r="S28" i="2"/>
  <c r="T28" i="2"/>
  <c r="U28" i="2"/>
  <c r="R29" i="2"/>
  <c r="S29" i="2"/>
  <c r="T29" i="2"/>
  <c r="U29" i="2"/>
  <c r="R30" i="2"/>
  <c r="S30" i="2"/>
  <c r="T30" i="2"/>
  <c r="U30" i="2"/>
  <c r="R31" i="2"/>
  <c r="S31" i="2"/>
  <c r="T31" i="2"/>
  <c r="U31" i="2"/>
  <c r="R32" i="2"/>
  <c r="S32" i="2"/>
  <c r="T32" i="2"/>
  <c r="U32" i="2"/>
  <c r="R33" i="2"/>
  <c r="S33" i="2"/>
  <c r="T33" i="2"/>
  <c r="U33" i="2"/>
  <c r="R34" i="2"/>
  <c r="S34" i="2"/>
  <c r="T34" i="2"/>
  <c r="U34" i="2"/>
  <c r="R35" i="2"/>
  <c r="S35" i="2"/>
  <c r="T35" i="2"/>
  <c r="U35" i="2"/>
  <c r="R36" i="2"/>
  <c r="S36" i="2"/>
  <c r="T36" i="2"/>
  <c r="U36" i="2"/>
  <c r="R37" i="2"/>
  <c r="S37" i="2"/>
  <c r="T37" i="2"/>
  <c r="U37" i="2"/>
  <c r="R38" i="2"/>
  <c r="S38" i="2"/>
  <c r="T38" i="2"/>
  <c r="U38" i="2"/>
  <c r="R39" i="2"/>
  <c r="S39" i="2"/>
  <c r="T39" i="2"/>
  <c r="U39" i="2"/>
  <c r="R40" i="2"/>
  <c r="S40" i="2"/>
  <c r="T40" i="2"/>
  <c r="U40" i="2"/>
  <c r="R41" i="2"/>
  <c r="S41" i="2"/>
  <c r="T41" i="2"/>
  <c r="U41" i="2"/>
  <c r="R42" i="2"/>
  <c r="S42" i="2"/>
  <c r="T42" i="2"/>
  <c r="U42" i="2"/>
  <c r="R43" i="2"/>
  <c r="S43" i="2"/>
  <c r="T43" i="2"/>
  <c r="U43" i="2"/>
  <c r="R44" i="2"/>
  <c r="S44" i="2"/>
  <c r="T44" i="2"/>
  <c r="U44" i="2"/>
  <c r="R45" i="2"/>
  <c r="S45" i="2"/>
  <c r="T45" i="2"/>
  <c r="U45" i="2"/>
  <c r="R46" i="2"/>
  <c r="S46" i="2"/>
  <c r="T46" i="2"/>
  <c r="U46" i="2"/>
  <c r="R47" i="2"/>
  <c r="S47" i="2"/>
  <c r="T47" i="2"/>
  <c r="U47" i="2"/>
  <c r="R48" i="2"/>
  <c r="S48" i="2"/>
  <c r="T48" i="2"/>
  <c r="U48" i="2"/>
  <c r="R49" i="2"/>
  <c r="S49" i="2"/>
  <c r="T49" i="2"/>
  <c r="U49" i="2"/>
  <c r="R50" i="2"/>
  <c r="S50" i="2"/>
  <c r="T50" i="2"/>
  <c r="U50" i="2"/>
  <c r="R51" i="2"/>
  <c r="S51" i="2"/>
  <c r="T51" i="2"/>
  <c r="U51" i="2"/>
  <c r="R52" i="2"/>
  <c r="S52" i="2"/>
  <c r="T52" i="2"/>
  <c r="U52" i="2"/>
  <c r="R53" i="2"/>
  <c r="S53" i="2"/>
  <c r="T53" i="2"/>
  <c r="U53" i="2"/>
  <c r="R54" i="2"/>
  <c r="S54" i="2"/>
  <c r="T54" i="2"/>
  <c r="U54" i="2"/>
  <c r="R55" i="2"/>
  <c r="S55" i="2"/>
  <c r="T55" i="2"/>
  <c r="U55" i="2"/>
  <c r="R56" i="2"/>
  <c r="S56" i="2"/>
  <c r="T56" i="2"/>
  <c r="U56" i="2"/>
  <c r="R57" i="2"/>
  <c r="S57" i="2"/>
  <c r="T57" i="2"/>
  <c r="U57" i="2"/>
  <c r="R58" i="2"/>
  <c r="S58" i="2"/>
  <c r="T58" i="2"/>
  <c r="U58" i="2"/>
  <c r="R59" i="2"/>
  <c r="S59" i="2"/>
  <c r="T59" i="2"/>
  <c r="U59" i="2"/>
  <c r="R60" i="2"/>
  <c r="S60" i="2"/>
  <c r="T60" i="2"/>
  <c r="U60" i="2"/>
  <c r="R61" i="2"/>
  <c r="S61" i="2"/>
  <c r="T61" i="2"/>
  <c r="U61" i="2"/>
  <c r="R62" i="2"/>
  <c r="S62" i="2"/>
  <c r="T62" i="2"/>
  <c r="U62" i="2"/>
  <c r="R63" i="2"/>
  <c r="S63" i="2"/>
  <c r="T63" i="2"/>
  <c r="U63" i="2"/>
  <c r="R64" i="2"/>
  <c r="S64" i="2"/>
  <c r="T64" i="2"/>
  <c r="U64" i="2"/>
  <c r="R65" i="2"/>
  <c r="S65" i="2"/>
  <c r="T65" i="2"/>
  <c r="U65" i="2"/>
  <c r="R66" i="2"/>
  <c r="S66" i="2"/>
  <c r="T66" i="2"/>
  <c r="U66" i="2"/>
  <c r="R67" i="2"/>
  <c r="S67" i="2"/>
  <c r="T67" i="2"/>
  <c r="U67" i="2"/>
  <c r="R68" i="2"/>
  <c r="S68" i="2"/>
  <c r="T68" i="2"/>
  <c r="U68" i="2"/>
  <c r="R69" i="2"/>
  <c r="S69" i="2"/>
  <c r="T69" i="2"/>
  <c r="U69" i="2"/>
  <c r="R70" i="2"/>
  <c r="S70" i="2"/>
  <c r="T70" i="2"/>
  <c r="U70" i="2"/>
  <c r="R71" i="2"/>
  <c r="S71" i="2"/>
  <c r="T71" i="2"/>
  <c r="U71" i="2"/>
  <c r="R72" i="2"/>
  <c r="S72" i="2"/>
  <c r="T72" i="2"/>
  <c r="U72" i="2"/>
  <c r="R73" i="2"/>
  <c r="S73" i="2"/>
  <c r="T73" i="2"/>
  <c r="U73" i="2"/>
  <c r="R74" i="2"/>
  <c r="S74" i="2"/>
  <c r="T74" i="2"/>
  <c r="U74" i="2"/>
  <c r="R75" i="2"/>
  <c r="S75" i="2"/>
  <c r="T75" i="2"/>
  <c r="U75" i="2"/>
  <c r="R76" i="2"/>
  <c r="S76" i="2"/>
  <c r="T76" i="2"/>
  <c r="U76" i="2"/>
  <c r="R77" i="2"/>
  <c r="S77" i="2"/>
  <c r="T77" i="2"/>
  <c r="U77" i="2"/>
  <c r="R78" i="2"/>
  <c r="S78" i="2"/>
  <c r="T78" i="2"/>
  <c r="U78" i="2"/>
  <c r="R79" i="2"/>
  <c r="S79" i="2"/>
  <c r="T79" i="2"/>
  <c r="U79" i="2"/>
  <c r="R80" i="2"/>
  <c r="S80" i="2"/>
  <c r="T80" i="2"/>
  <c r="U80" i="2"/>
  <c r="R81" i="2"/>
  <c r="S81" i="2"/>
  <c r="T81" i="2"/>
  <c r="U81" i="2"/>
  <c r="R82" i="2"/>
  <c r="S82" i="2"/>
  <c r="T82" i="2"/>
  <c r="U82" i="2"/>
  <c r="R83" i="2"/>
  <c r="S83" i="2"/>
  <c r="T83" i="2"/>
  <c r="U83" i="2"/>
  <c r="R84" i="2"/>
  <c r="S84" i="2"/>
  <c r="T84" i="2"/>
  <c r="U84" i="2"/>
  <c r="R85" i="2"/>
  <c r="S85" i="2"/>
  <c r="T85" i="2"/>
  <c r="U85" i="2"/>
  <c r="R86" i="2"/>
  <c r="S86" i="2"/>
  <c r="T86" i="2"/>
  <c r="U86" i="2"/>
  <c r="R87" i="2"/>
  <c r="S87" i="2"/>
  <c r="T87" i="2"/>
  <c r="U87" i="2"/>
  <c r="R88" i="2"/>
  <c r="S88" i="2"/>
  <c r="T88" i="2"/>
  <c r="U88" i="2"/>
  <c r="R89" i="2"/>
  <c r="S89" i="2"/>
  <c r="T89" i="2"/>
  <c r="U89" i="2"/>
  <c r="R90" i="2"/>
  <c r="S90" i="2"/>
  <c r="T90" i="2"/>
  <c r="U90" i="2"/>
  <c r="R91" i="2"/>
  <c r="S91" i="2"/>
  <c r="T91" i="2"/>
  <c r="U91" i="2"/>
  <c r="R92" i="2"/>
  <c r="S92" i="2"/>
  <c r="T92" i="2"/>
  <c r="U92" i="2"/>
  <c r="R93" i="2"/>
  <c r="S93" i="2"/>
  <c r="T93" i="2"/>
  <c r="U93" i="2"/>
  <c r="R94" i="2"/>
  <c r="S94" i="2"/>
  <c r="T94" i="2"/>
  <c r="U94" i="2"/>
  <c r="R95" i="2"/>
  <c r="S95" i="2"/>
  <c r="T95" i="2"/>
  <c r="U95" i="2"/>
  <c r="R96" i="2"/>
  <c r="S96" i="2"/>
  <c r="T96" i="2"/>
  <c r="U96" i="2"/>
  <c r="R97" i="2"/>
  <c r="S97" i="2"/>
  <c r="T97" i="2"/>
  <c r="U97" i="2"/>
  <c r="R98" i="2"/>
  <c r="S98" i="2"/>
  <c r="T98" i="2"/>
  <c r="U98" i="2"/>
  <c r="R99" i="2"/>
  <c r="S99" i="2"/>
  <c r="T99" i="2"/>
  <c r="U99" i="2"/>
  <c r="R100" i="2"/>
  <c r="S100" i="2"/>
  <c r="T100" i="2"/>
  <c r="U100" i="2"/>
  <c r="R101" i="2"/>
  <c r="S101" i="2"/>
  <c r="T101" i="2"/>
  <c r="U101" i="2"/>
  <c r="R102" i="2"/>
  <c r="S102" i="2"/>
  <c r="T102" i="2"/>
  <c r="U102" i="2"/>
  <c r="R103" i="2"/>
  <c r="S103" i="2"/>
  <c r="T103" i="2"/>
  <c r="U103" i="2"/>
  <c r="R104" i="2"/>
  <c r="S104" i="2"/>
  <c r="T104" i="2"/>
  <c r="U104" i="2"/>
  <c r="R105" i="2"/>
  <c r="S105" i="2"/>
  <c r="T105" i="2"/>
  <c r="U105" i="2"/>
  <c r="R106" i="2"/>
  <c r="S106" i="2"/>
  <c r="T106" i="2"/>
  <c r="U106" i="2"/>
  <c r="R107" i="2"/>
  <c r="S107" i="2"/>
  <c r="T107" i="2"/>
  <c r="U107" i="2"/>
  <c r="R108" i="2"/>
  <c r="S108" i="2"/>
  <c r="T108" i="2"/>
  <c r="U108" i="2"/>
  <c r="R109" i="2"/>
  <c r="S109" i="2"/>
  <c r="T109" i="2"/>
  <c r="U109" i="2"/>
  <c r="R110" i="2"/>
  <c r="S110" i="2"/>
  <c r="T110" i="2"/>
  <c r="U110" i="2"/>
  <c r="R111" i="2"/>
  <c r="S111" i="2"/>
  <c r="T111" i="2"/>
  <c r="U111" i="2"/>
  <c r="R112" i="2"/>
  <c r="S112" i="2"/>
  <c r="T112" i="2"/>
  <c r="U112" i="2"/>
  <c r="R113" i="2"/>
  <c r="S113" i="2"/>
  <c r="T113" i="2"/>
  <c r="U113" i="2"/>
  <c r="R114" i="2"/>
  <c r="S114" i="2"/>
  <c r="T114" i="2"/>
  <c r="U114" i="2"/>
  <c r="R115" i="2"/>
  <c r="S115" i="2"/>
  <c r="T115" i="2"/>
  <c r="U115" i="2"/>
  <c r="R116" i="2"/>
  <c r="S116" i="2"/>
  <c r="T116" i="2"/>
  <c r="U116" i="2"/>
  <c r="R117" i="2"/>
  <c r="S117" i="2"/>
  <c r="T117" i="2"/>
  <c r="U117" i="2"/>
  <c r="R118" i="2"/>
  <c r="S118" i="2"/>
  <c r="T118" i="2"/>
  <c r="U118" i="2"/>
  <c r="R119" i="2"/>
  <c r="S119" i="2"/>
  <c r="T119" i="2"/>
  <c r="U119" i="2"/>
  <c r="R120" i="2"/>
  <c r="S120" i="2"/>
  <c r="T120" i="2"/>
  <c r="U120" i="2"/>
  <c r="R121" i="2"/>
  <c r="S121" i="2"/>
  <c r="T121" i="2"/>
  <c r="U121" i="2"/>
  <c r="R122" i="2"/>
  <c r="S122" i="2"/>
  <c r="T122" i="2"/>
  <c r="U122" i="2"/>
  <c r="R123" i="2"/>
  <c r="S123" i="2"/>
  <c r="T123" i="2"/>
  <c r="U123" i="2"/>
  <c r="R124" i="2"/>
  <c r="S124" i="2"/>
  <c r="T124" i="2"/>
  <c r="U124" i="2"/>
  <c r="R125" i="2"/>
  <c r="S125" i="2"/>
  <c r="T125" i="2"/>
  <c r="U125" i="2"/>
  <c r="R126" i="2"/>
  <c r="S126" i="2"/>
  <c r="T126" i="2"/>
  <c r="U126" i="2"/>
  <c r="R127" i="2"/>
  <c r="S127" i="2"/>
  <c r="T127" i="2"/>
  <c r="U127" i="2"/>
  <c r="R128" i="2"/>
  <c r="S128" i="2"/>
  <c r="T128" i="2"/>
  <c r="U128" i="2"/>
  <c r="R129" i="2"/>
  <c r="S129" i="2"/>
  <c r="T129" i="2"/>
  <c r="U129" i="2"/>
  <c r="R130" i="2"/>
  <c r="S130" i="2"/>
  <c r="T130" i="2"/>
  <c r="U130" i="2"/>
  <c r="R131" i="2"/>
  <c r="S131" i="2"/>
  <c r="T131" i="2"/>
  <c r="U131" i="2"/>
  <c r="R132" i="2"/>
  <c r="S132" i="2"/>
  <c r="T132" i="2"/>
  <c r="U132" i="2"/>
  <c r="R133" i="2"/>
  <c r="S133" i="2"/>
  <c r="T133" i="2"/>
  <c r="U133" i="2"/>
  <c r="R134" i="2"/>
  <c r="S134" i="2"/>
  <c r="T134" i="2"/>
  <c r="U134" i="2"/>
  <c r="R135" i="2"/>
  <c r="S135" i="2"/>
  <c r="T135" i="2"/>
  <c r="U135" i="2"/>
  <c r="R136" i="2"/>
  <c r="S136" i="2"/>
  <c r="T136" i="2"/>
  <c r="U136" i="2"/>
  <c r="R137" i="2"/>
  <c r="S137" i="2"/>
  <c r="T137" i="2"/>
  <c r="U137" i="2"/>
  <c r="R138" i="2"/>
  <c r="S138" i="2"/>
  <c r="T138" i="2"/>
  <c r="U138" i="2"/>
  <c r="R139" i="2"/>
  <c r="S139" i="2"/>
  <c r="T139" i="2"/>
  <c r="U139" i="2"/>
  <c r="R140" i="2"/>
  <c r="S140" i="2"/>
  <c r="T140" i="2"/>
  <c r="U140" i="2"/>
  <c r="R141" i="2"/>
  <c r="S141" i="2"/>
  <c r="T141" i="2"/>
  <c r="U141" i="2"/>
  <c r="R142" i="2"/>
  <c r="S142" i="2"/>
  <c r="T142" i="2"/>
  <c r="U142" i="2"/>
  <c r="R143" i="2"/>
  <c r="S143" i="2"/>
  <c r="T143" i="2"/>
  <c r="U143" i="2"/>
  <c r="R144" i="2"/>
  <c r="S144" i="2"/>
  <c r="T144" i="2"/>
  <c r="U144" i="2"/>
  <c r="R145" i="2"/>
  <c r="S145" i="2"/>
  <c r="T145" i="2"/>
  <c r="U145" i="2"/>
  <c r="R146" i="2"/>
  <c r="S146" i="2"/>
  <c r="T146" i="2"/>
  <c r="U146" i="2"/>
  <c r="R147" i="2"/>
  <c r="S147" i="2"/>
  <c r="T147" i="2"/>
  <c r="U147" i="2"/>
  <c r="R148" i="2"/>
  <c r="S148" i="2"/>
  <c r="T148" i="2"/>
  <c r="U148" i="2"/>
  <c r="R149" i="2"/>
  <c r="S149" i="2"/>
  <c r="T149" i="2"/>
  <c r="U149" i="2"/>
  <c r="R150" i="2"/>
  <c r="S150" i="2"/>
  <c r="T150" i="2"/>
  <c r="U150" i="2"/>
  <c r="R151" i="2"/>
  <c r="S151" i="2"/>
  <c r="T151" i="2"/>
  <c r="U151" i="2"/>
  <c r="R152" i="2"/>
  <c r="S152" i="2"/>
  <c r="T152" i="2"/>
  <c r="U152" i="2"/>
  <c r="R153" i="2"/>
  <c r="S153" i="2"/>
  <c r="T153" i="2"/>
  <c r="U153" i="2"/>
  <c r="R154" i="2"/>
  <c r="S154" i="2"/>
  <c r="T154" i="2"/>
  <c r="U154" i="2"/>
  <c r="R155" i="2"/>
  <c r="S155" i="2"/>
  <c r="T155" i="2"/>
  <c r="U155" i="2"/>
  <c r="R156" i="2"/>
  <c r="S156" i="2"/>
  <c r="T156" i="2"/>
  <c r="U156" i="2"/>
  <c r="R157" i="2"/>
  <c r="S157" i="2"/>
  <c r="T157" i="2"/>
  <c r="U157" i="2"/>
  <c r="R158" i="2"/>
  <c r="S158" i="2"/>
  <c r="T158" i="2"/>
  <c r="U158" i="2"/>
  <c r="R159" i="2"/>
  <c r="S159" i="2"/>
  <c r="T159" i="2"/>
  <c r="U159" i="2"/>
  <c r="R160" i="2"/>
  <c r="S160" i="2"/>
  <c r="T160" i="2"/>
  <c r="U160" i="2"/>
  <c r="R161" i="2"/>
  <c r="S161" i="2"/>
  <c r="T161" i="2"/>
  <c r="U161" i="2"/>
  <c r="R162" i="2"/>
  <c r="S162" i="2"/>
  <c r="T162" i="2"/>
  <c r="U162" i="2"/>
  <c r="R163" i="2"/>
  <c r="S163" i="2"/>
  <c r="T163" i="2"/>
  <c r="U163" i="2"/>
  <c r="R164" i="2"/>
  <c r="S164" i="2"/>
  <c r="T164" i="2"/>
  <c r="U164" i="2"/>
  <c r="R165" i="2"/>
  <c r="S165" i="2"/>
  <c r="T165" i="2"/>
  <c r="U165" i="2"/>
  <c r="R166" i="2"/>
  <c r="S166" i="2"/>
  <c r="T166" i="2"/>
  <c r="U166" i="2"/>
  <c r="R167" i="2"/>
  <c r="S167" i="2"/>
  <c r="T167" i="2"/>
  <c r="U167" i="2"/>
  <c r="R168" i="2"/>
  <c r="S168" i="2"/>
  <c r="T168" i="2"/>
  <c r="U168" i="2"/>
  <c r="R169" i="2"/>
  <c r="S169" i="2"/>
  <c r="T169" i="2"/>
  <c r="U169" i="2"/>
  <c r="R170" i="2"/>
  <c r="S170" i="2"/>
  <c r="T170" i="2"/>
  <c r="U170" i="2"/>
  <c r="R171" i="2"/>
  <c r="S171" i="2"/>
  <c r="T171" i="2"/>
  <c r="U171" i="2"/>
  <c r="R172" i="2"/>
  <c r="S172" i="2"/>
  <c r="T172" i="2"/>
  <c r="U172" i="2"/>
  <c r="R173" i="2"/>
  <c r="S173" i="2"/>
  <c r="T173" i="2"/>
  <c r="U173" i="2"/>
  <c r="R174" i="2"/>
  <c r="S174" i="2"/>
  <c r="T174" i="2"/>
  <c r="U174" i="2"/>
  <c r="R175" i="2"/>
  <c r="S175" i="2"/>
  <c r="T175" i="2"/>
  <c r="U175" i="2"/>
  <c r="R176" i="2"/>
  <c r="S176" i="2"/>
  <c r="T176" i="2"/>
  <c r="U176" i="2"/>
  <c r="R177" i="2"/>
  <c r="S177" i="2"/>
  <c r="T177" i="2"/>
  <c r="U177" i="2"/>
  <c r="R178" i="2"/>
  <c r="S178" i="2"/>
  <c r="T178" i="2"/>
  <c r="U178" i="2"/>
  <c r="R179" i="2"/>
  <c r="S179" i="2"/>
  <c r="T179" i="2"/>
  <c r="U179" i="2"/>
  <c r="R180" i="2"/>
  <c r="S180" i="2"/>
  <c r="T180" i="2"/>
  <c r="U180" i="2"/>
  <c r="R181" i="2"/>
  <c r="S181" i="2"/>
  <c r="T181" i="2"/>
  <c r="U181" i="2"/>
  <c r="R182" i="2"/>
  <c r="S182" i="2"/>
  <c r="T182" i="2"/>
  <c r="U182" i="2"/>
  <c r="R183" i="2"/>
  <c r="S183" i="2"/>
  <c r="T183" i="2"/>
  <c r="U183" i="2"/>
  <c r="R184" i="2"/>
  <c r="S184" i="2"/>
  <c r="T184" i="2"/>
  <c r="U184" i="2"/>
  <c r="R185" i="2"/>
  <c r="S185" i="2"/>
  <c r="T185" i="2"/>
  <c r="U185" i="2"/>
  <c r="R186" i="2"/>
  <c r="S186" i="2"/>
  <c r="T186" i="2"/>
  <c r="U186" i="2"/>
  <c r="R187" i="2"/>
  <c r="S187" i="2"/>
  <c r="T187" i="2"/>
  <c r="U187" i="2"/>
  <c r="R188" i="2"/>
  <c r="S188" i="2"/>
  <c r="T188" i="2"/>
  <c r="U188" i="2"/>
  <c r="R189" i="2"/>
  <c r="S189" i="2"/>
  <c r="T189" i="2"/>
  <c r="U189" i="2"/>
  <c r="R190" i="2"/>
  <c r="S190" i="2"/>
  <c r="T190" i="2"/>
  <c r="U190" i="2"/>
  <c r="R191" i="2"/>
  <c r="S191" i="2"/>
  <c r="T191" i="2"/>
  <c r="U191" i="2"/>
  <c r="R192" i="2"/>
  <c r="S192" i="2"/>
  <c r="T192" i="2"/>
  <c r="U192" i="2"/>
  <c r="R193" i="2"/>
  <c r="S193" i="2"/>
  <c r="T193" i="2"/>
  <c r="U193" i="2"/>
  <c r="R194" i="2"/>
  <c r="S194" i="2"/>
  <c r="T194" i="2"/>
  <c r="U194" i="2"/>
  <c r="R195" i="2"/>
  <c r="S195" i="2"/>
  <c r="T195" i="2"/>
  <c r="U195" i="2"/>
  <c r="R196" i="2"/>
  <c r="S196" i="2"/>
  <c r="T196" i="2"/>
  <c r="U196" i="2"/>
  <c r="R197" i="2"/>
  <c r="S197" i="2"/>
  <c r="T197" i="2"/>
  <c r="U197" i="2"/>
  <c r="R198" i="2"/>
  <c r="S198" i="2"/>
  <c r="T198" i="2"/>
  <c r="U198" i="2"/>
  <c r="R199" i="2"/>
  <c r="S199" i="2"/>
  <c r="T199" i="2"/>
  <c r="U199" i="2"/>
  <c r="R200" i="2"/>
  <c r="S200" i="2"/>
  <c r="T200" i="2"/>
  <c r="U200" i="2"/>
  <c r="R201" i="2"/>
  <c r="S201" i="2"/>
  <c r="T201" i="2"/>
  <c r="U201" i="2"/>
  <c r="R202" i="2"/>
  <c r="S202" i="2"/>
  <c r="T202" i="2"/>
  <c r="U202" i="2"/>
  <c r="R203" i="2"/>
  <c r="S203" i="2"/>
  <c r="T203" i="2"/>
  <c r="U203" i="2"/>
  <c r="R204" i="2"/>
  <c r="S204" i="2"/>
  <c r="T204" i="2"/>
  <c r="U204" i="2"/>
  <c r="R205" i="2"/>
  <c r="S205" i="2"/>
  <c r="T205" i="2"/>
  <c r="U205" i="2"/>
  <c r="R206" i="2"/>
  <c r="S206" i="2"/>
  <c r="T206" i="2"/>
  <c r="U206" i="2"/>
  <c r="R207" i="2"/>
  <c r="S207" i="2"/>
  <c r="T207" i="2"/>
  <c r="U207" i="2"/>
  <c r="R208" i="2"/>
  <c r="S208" i="2"/>
  <c r="T208" i="2"/>
  <c r="U208" i="2"/>
  <c r="R209" i="2"/>
  <c r="S209" i="2"/>
  <c r="T209" i="2"/>
  <c r="U209" i="2"/>
  <c r="R210" i="2"/>
  <c r="S210" i="2"/>
  <c r="T210" i="2"/>
  <c r="U210" i="2"/>
  <c r="R211" i="2"/>
  <c r="S211" i="2"/>
  <c r="T211" i="2"/>
  <c r="U211" i="2"/>
  <c r="R212" i="2"/>
  <c r="S212" i="2"/>
  <c r="T212" i="2"/>
  <c r="U212" i="2"/>
  <c r="R213" i="2"/>
  <c r="S213" i="2"/>
  <c r="T213" i="2"/>
  <c r="U213" i="2"/>
  <c r="R214" i="2"/>
  <c r="S214" i="2"/>
  <c r="T214" i="2"/>
  <c r="U214" i="2"/>
  <c r="R215" i="2"/>
  <c r="S215" i="2"/>
  <c r="T215" i="2"/>
  <c r="U215" i="2"/>
  <c r="R216" i="2"/>
  <c r="S216" i="2"/>
  <c r="T216" i="2"/>
  <c r="U216" i="2"/>
  <c r="R217" i="2"/>
  <c r="S217" i="2"/>
  <c r="T217" i="2"/>
  <c r="U217" i="2"/>
  <c r="R218" i="2"/>
  <c r="S218" i="2"/>
  <c r="T218" i="2"/>
  <c r="U218" i="2"/>
  <c r="R219" i="2"/>
  <c r="S219" i="2"/>
  <c r="T219" i="2"/>
  <c r="U219" i="2"/>
  <c r="R220" i="2"/>
  <c r="S220" i="2"/>
  <c r="T220" i="2"/>
  <c r="U220" i="2"/>
  <c r="R221" i="2"/>
  <c r="S221" i="2"/>
  <c r="T221" i="2"/>
  <c r="U221" i="2"/>
  <c r="R222" i="2"/>
  <c r="S222" i="2"/>
  <c r="T222" i="2"/>
  <c r="U222" i="2"/>
  <c r="R223" i="2"/>
  <c r="S223" i="2"/>
  <c r="T223" i="2"/>
  <c r="U223" i="2"/>
  <c r="R224" i="2"/>
  <c r="S224" i="2"/>
  <c r="T224" i="2"/>
  <c r="U224" i="2"/>
  <c r="R225" i="2"/>
  <c r="S225" i="2"/>
  <c r="T225" i="2"/>
  <c r="U225" i="2"/>
  <c r="R226" i="2"/>
  <c r="S226" i="2"/>
  <c r="T226" i="2"/>
  <c r="U226" i="2"/>
  <c r="R227" i="2"/>
  <c r="S227" i="2"/>
  <c r="T227" i="2"/>
  <c r="U227" i="2"/>
  <c r="R228" i="2"/>
  <c r="S228" i="2"/>
  <c r="T228" i="2"/>
  <c r="U228" i="2"/>
  <c r="R229" i="2"/>
  <c r="S229" i="2"/>
  <c r="T229" i="2"/>
  <c r="U229" i="2"/>
  <c r="R230" i="2"/>
  <c r="S230" i="2"/>
  <c r="T230" i="2"/>
  <c r="U230" i="2"/>
  <c r="R231" i="2"/>
  <c r="S231" i="2"/>
  <c r="T231" i="2"/>
  <c r="U231" i="2"/>
  <c r="R232" i="2"/>
  <c r="S232" i="2"/>
  <c r="T232" i="2"/>
  <c r="U232" i="2"/>
  <c r="R233" i="2"/>
  <c r="S233" i="2"/>
  <c r="T233" i="2"/>
  <c r="U233" i="2"/>
  <c r="R234" i="2"/>
  <c r="S234" i="2"/>
  <c r="T234" i="2"/>
  <c r="U234" i="2"/>
  <c r="R235" i="2"/>
  <c r="S235" i="2"/>
  <c r="T235" i="2"/>
  <c r="U235" i="2"/>
  <c r="R236" i="2"/>
  <c r="S236" i="2"/>
  <c r="T236" i="2"/>
  <c r="U236" i="2"/>
  <c r="R237" i="2"/>
  <c r="S237" i="2"/>
  <c r="T237" i="2"/>
  <c r="U237" i="2"/>
  <c r="R238" i="2"/>
  <c r="S238" i="2"/>
  <c r="T238" i="2"/>
  <c r="U238" i="2"/>
  <c r="R239" i="2"/>
  <c r="S239" i="2"/>
  <c r="T239" i="2"/>
  <c r="U239" i="2"/>
  <c r="R240" i="2"/>
  <c r="S240" i="2"/>
  <c r="T240" i="2"/>
  <c r="U240" i="2"/>
  <c r="R241" i="2"/>
  <c r="S241" i="2"/>
  <c r="T241" i="2"/>
  <c r="U241" i="2"/>
  <c r="R242" i="2"/>
  <c r="S242" i="2"/>
  <c r="T242" i="2"/>
  <c r="U242" i="2"/>
  <c r="R243" i="2"/>
  <c r="S243" i="2"/>
  <c r="T243" i="2"/>
  <c r="U243" i="2"/>
  <c r="R244" i="2"/>
  <c r="S244" i="2"/>
  <c r="T244" i="2"/>
  <c r="U244" i="2"/>
  <c r="R245" i="2"/>
  <c r="S245" i="2"/>
  <c r="T245" i="2"/>
  <c r="U245" i="2"/>
  <c r="R246" i="2"/>
  <c r="S246" i="2"/>
  <c r="T246" i="2"/>
  <c r="U246" i="2"/>
  <c r="R247" i="2"/>
  <c r="S247" i="2"/>
  <c r="T247" i="2"/>
  <c r="U247" i="2"/>
  <c r="R248" i="2"/>
  <c r="S248" i="2"/>
  <c r="T248" i="2"/>
  <c r="U248" i="2"/>
  <c r="R249" i="2"/>
  <c r="S249" i="2"/>
  <c r="T249" i="2"/>
  <c r="U249" i="2"/>
  <c r="R250" i="2"/>
  <c r="S250" i="2"/>
  <c r="T250" i="2"/>
  <c r="U250" i="2"/>
  <c r="R251" i="2"/>
  <c r="S251" i="2"/>
  <c r="T251" i="2"/>
  <c r="U251" i="2"/>
  <c r="R252" i="2"/>
  <c r="S252" i="2"/>
  <c r="T252" i="2"/>
  <c r="U252" i="2"/>
  <c r="R253" i="2"/>
  <c r="S253" i="2"/>
  <c r="T253" i="2"/>
  <c r="U253" i="2"/>
  <c r="R254" i="2"/>
  <c r="S254" i="2"/>
  <c r="T254" i="2"/>
  <c r="U254" i="2"/>
  <c r="R255" i="2"/>
  <c r="S255" i="2"/>
  <c r="T255" i="2"/>
  <c r="U255" i="2"/>
  <c r="R256" i="2"/>
  <c r="S256" i="2"/>
  <c r="T256" i="2"/>
  <c r="U256" i="2"/>
  <c r="R257" i="2"/>
  <c r="S257" i="2"/>
  <c r="T257" i="2"/>
  <c r="U257" i="2"/>
  <c r="R258" i="2"/>
  <c r="S258" i="2"/>
  <c r="T258" i="2"/>
  <c r="U258" i="2"/>
  <c r="R259" i="2"/>
  <c r="S259" i="2"/>
  <c r="T259" i="2"/>
  <c r="U259" i="2"/>
  <c r="R260" i="2"/>
  <c r="S260" i="2"/>
  <c r="T260" i="2"/>
  <c r="U260" i="2"/>
  <c r="R261" i="2"/>
  <c r="S261" i="2"/>
  <c r="T261" i="2"/>
  <c r="U261" i="2"/>
  <c r="R262" i="2"/>
  <c r="S262" i="2"/>
  <c r="T262" i="2"/>
  <c r="U262" i="2"/>
  <c r="R263" i="2"/>
  <c r="S263" i="2"/>
  <c r="T263" i="2"/>
  <c r="U263" i="2"/>
  <c r="R264" i="2"/>
  <c r="S264" i="2"/>
  <c r="T264" i="2"/>
  <c r="U264" i="2"/>
  <c r="R265" i="2"/>
  <c r="S265" i="2"/>
  <c r="T265" i="2"/>
  <c r="U265" i="2"/>
  <c r="R266" i="2"/>
  <c r="S266" i="2"/>
  <c r="T266" i="2"/>
  <c r="U266" i="2"/>
  <c r="R267" i="2"/>
  <c r="S267" i="2"/>
  <c r="T267" i="2"/>
  <c r="U267" i="2"/>
  <c r="R268" i="2"/>
  <c r="S268" i="2"/>
  <c r="T268" i="2"/>
  <c r="U268" i="2"/>
  <c r="R269" i="2"/>
  <c r="S269" i="2"/>
  <c r="T269" i="2"/>
  <c r="U269" i="2"/>
  <c r="R270" i="2"/>
  <c r="S270" i="2"/>
  <c r="T270" i="2"/>
  <c r="U270" i="2"/>
  <c r="R271" i="2"/>
  <c r="S271" i="2"/>
  <c r="T271" i="2"/>
  <c r="U271" i="2"/>
  <c r="R272" i="2"/>
  <c r="S272" i="2"/>
  <c r="T272" i="2"/>
  <c r="U272" i="2"/>
  <c r="R273" i="2"/>
  <c r="S273" i="2"/>
  <c r="T273" i="2"/>
  <c r="U273" i="2"/>
  <c r="R274" i="2"/>
  <c r="S274" i="2"/>
  <c r="T274" i="2"/>
  <c r="U274" i="2"/>
  <c r="R275" i="2"/>
  <c r="S275" i="2"/>
  <c r="T275" i="2"/>
  <c r="U275" i="2"/>
  <c r="R276" i="2"/>
  <c r="S276" i="2"/>
  <c r="T276" i="2"/>
  <c r="U276" i="2"/>
  <c r="R277" i="2"/>
  <c r="S277" i="2"/>
  <c r="T277" i="2"/>
  <c r="U277" i="2"/>
  <c r="R278" i="2"/>
  <c r="S278" i="2"/>
  <c r="T278" i="2"/>
  <c r="U278" i="2"/>
  <c r="R279" i="2"/>
  <c r="S279" i="2"/>
  <c r="T279" i="2"/>
  <c r="U279" i="2"/>
  <c r="R280" i="2"/>
  <c r="S280" i="2"/>
  <c r="T280" i="2"/>
  <c r="U280" i="2"/>
  <c r="R281" i="2"/>
  <c r="S281" i="2"/>
  <c r="T281" i="2"/>
  <c r="U281" i="2"/>
  <c r="R282" i="2"/>
  <c r="S282" i="2"/>
  <c r="T282" i="2"/>
  <c r="U282" i="2"/>
  <c r="R283" i="2"/>
  <c r="S283" i="2"/>
  <c r="T283" i="2"/>
  <c r="U283" i="2"/>
  <c r="R284" i="2"/>
  <c r="S284" i="2"/>
  <c r="T284" i="2"/>
  <c r="U284" i="2"/>
  <c r="R285" i="2"/>
  <c r="S285" i="2"/>
  <c r="T285" i="2"/>
  <c r="U285" i="2"/>
  <c r="R286" i="2"/>
  <c r="S286" i="2"/>
  <c r="T286" i="2"/>
  <c r="U286" i="2"/>
  <c r="R287" i="2"/>
  <c r="S287" i="2"/>
  <c r="T287" i="2"/>
  <c r="U287" i="2"/>
  <c r="R288" i="2"/>
  <c r="S288" i="2"/>
  <c r="T288" i="2"/>
  <c r="U288" i="2"/>
  <c r="R289" i="2"/>
  <c r="S289" i="2"/>
  <c r="T289" i="2"/>
  <c r="U289" i="2"/>
  <c r="S2" i="2"/>
  <c r="T2" i="2"/>
  <c r="R2" i="2"/>
</calcChain>
</file>

<file path=xl/sharedStrings.xml><?xml version="1.0" encoding="utf-8"?>
<sst xmlns="http://schemas.openxmlformats.org/spreadsheetml/2006/main" count="1186" uniqueCount="189">
  <si>
    <t>Condition_ID</t>
  </si>
  <si>
    <t>MPOB_Condition_Number</t>
  </si>
  <si>
    <t>Well</t>
  </si>
  <si>
    <t>Total_Phosphate_mM</t>
  </si>
  <si>
    <t>(NH4)2SO4_mM</t>
  </si>
  <si>
    <t>Succinate_mM</t>
  </si>
  <si>
    <t>Methanol_mM</t>
  </si>
  <si>
    <t>A1</t>
  </si>
  <si>
    <t>B1</t>
  </si>
  <si>
    <t>C1</t>
  </si>
  <si>
    <t>D1</t>
  </si>
  <si>
    <t>MPOB_001</t>
  </si>
  <si>
    <t>E1</t>
  </si>
  <si>
    <t>F1</t>
  </si>
  <si>
    <t>G1</t>
  </si>
  <si>
    <t>H1</t>
  </si>
  <si>
    <t>MPOB_002</t>
  </si>
  <si>
    <t>A2</t>
  </si>
  <si>
    <t>B2</t>
  </si>
  <si>
    <t>C2</t>
  </si>
  <si>
    <t>D2</t>
  </si>
  <si>
    <t>MPOB_003</t>
  </si>
  <si>
    <t>E2</t>
  </si>
  <si>
    <t>F2</t>
  </si>
  <si>
    <t>G2</t>
  </si>
  <si>
    <t>H2</t>
  </si>
  <si>
    <t>MPOB_004</t>
  </si>
  <si>
    <t>A3</t>
  </si>
  <si>
    <t>B3</t>
  </si>
  <si>
    <t>C3</t>
  </si>
  <si>
    <t>D3</t>
  </si>
  <si>
    <t>MPOB_005</t>
  </si>
  <si>
    <t>E3</t>
  </si>
  <si>
    <t>F3</t>
  </si>
  <si>
    <t>G3</t>
  </si>
  <si>
    <t>H3</t>
  </si>
  <si>
    <t>MPOB_006</t>
  </si>
  <si>
    <t>A4</t>
  </si>
  <si>
    <t>B4</t>
  </si>
  <si>
    <t>C4</t>
  </si>
  <si>
    <t>D4</t>
  </si>
  <si>
    <t>MPOB_007</t>
  </si>
  <si>
    <t>E4</t>
  </si>
  <si>
    <t>F4</t>
  </si>
  <si>
    <t>G4</t>
  </si>
  <si>
    <t>H4</t>
  </si>
  <si>
    <t>MPOB_008</t>
  </si>
  <si>
    <t>A5</t>
  </si>
  <si>
    <t>B5</t>
  </si>
  <si>
    <t>C5</t>
  </si>
  <si>
    <t>D5</t>
  </si>
  <si>
    <t>MPOB_009</t>
  </si>
  <si>
    <t>E5</t>
  </si>
  <si>
    <t>F5</t>
  </si>
  <si>
    <t>G5</t>
  </si>
  <si>
    <t>H5</t>
  </si>
  <si>
    <t>MPOB_010</t>
  </si>
  <si>
    <t>A6</t>
  </si>
  <si>
    <t>B6</t>
  </si>
  <si>
    <t>C6</t>
  </si>
  <si>
    <t>D6</t>
  </si>
  <si>
    <t>MPOB_011</t>
  </si>
  <si>
    <t>E6</t>
  </si>
  <si>
    <t>F6</t>
  </si>
  <si>
    <t>G6</t>
  </si>
  <si>
    <t>H6</t>
  </si>
  <si>
    <t>MPOB_012</t>
  </si>
  <si>
    <t>A7</t>
  </si>
  <si>
    <t>B7</t>
  </si>
  <si>
    <t>C7</t>
  </si>
  <si>
    <t>D7</t>
  </si>
  <si>
    <t>MPOB_013</t>
  </si>
  <si>
    <t>E7</t>
  </si>
  <si>
    <t>F7</t>
  </si>
  <si>
    <t>G7</t>
  </si>
  <si>
    <t>H7</t>
  </si>
  <si>
    <t>MPOB_014</t>
  </si>
  <si>
    <t>A8</t>
  </si>
  <si>
    <t>B8</t>
  </si>
  <si>
    <t>C8</t>
  </si>
  <si>
    <t>D8</t>
  </si>
  <si>
    <t>MPOB_015</t>
  </si>
  <si>
    <t>E8</t>
  </si>
  <si>
    <t>F8</t>
  </si>
  <si>
    <t>G8</t>
  </si>
  <si>
    <t>H8</t>
  </si>
  <si>
    <t>MPOB_016</t>
  </si>
  <si>
    <t>A9</t>
  </si>
  <si>
    <t>B9</t>
  </si>
  <si>
    <t>C9</t>
  </si>
  <si>
    <t>D9</t>
  </si>
  <si>
    <t>MPOB_017</t>
  </si>
  <si>
    <t>E9</t>
  </si>
  <si>
    <t>F9</t>
  </si>
  <si>
    <t>G9</t>
  </si>
  <si>
    <t>H9</t>
  </si>
  <si>
    <t>MPOB_018</t>
  </si>
  <si>
    <t>A10</t>
  </si>
  <si>
    <t>B10</t>
  </si>
  <si>
    <t>C10</t>
  </si>
  <si>
    <t>D10</t>
  </si>
  <si>
    <t>MPOB_019</t>
  </si>
  <si>
    <t>E10</t>
  </si>
  <si>
    <t>F10</t>
  </si>
  <si>
    <t>G10</t>
  </si>
  <si>
    <t>H10</t>
  </si>
  <si>
    <t>MPOB_020</t>
  </si>
  <si>
    <t>A11</t>
  </si>
  <si>
    <t>B11</t>
  </si>
  <si>
    <t>C11</t>
  </si>
  <si>
    <t>D11</t>
  </si>
  <si>
    <t>MPOB_021</t>
  </si>
  <si>
    <t>E11</t>
  </si>
  <si>
    <t>F11</t>
  </si>
  <si>
    <t>G11</t>
  </si>
  <si>
    <t>H11</t>
  </si>
  <si>
    <t>MPOB_022</t>
  </si>
  <si>
    <t>A12</t>
  </si>
  <si>
    <t>B12</t>
  </si>
  <si>
    <t>C12</t>
  </si>
  <si>
    <t>D12</t>
  </si>
  <si>
    <t>MPOB_023</t>
  </si>
  <si>
    <t>E12</t>
  </si>
  <si>
    <t>F12</t>
  </si>
  <si>
    <t>G12</t>
  </si>
  <si>
    <t>H12</t>
  </si>
  <si>
    <t>plate</t>
  </si>
  <si>
    <t>CoCl2 mM</t>
  </si>
  <si>
    <t xml:space="preserve">PQQ mM </t>
  </si>
  <si>
    <t>MPOB_024</t>
  </si>
  <si>
    <t>MPOB_025</t>
  </si>
  <si>
    <t>MPOB_026</t>
  </si>
  <si>
    <t>MPOB_027</t>
  </si>
  <si>
    <t>MPOB_028</t>
  </si>
  <si>
    <t>MPOB_029</t>
  </si>
  <si>
    <t>MPOB_030</t>
  </si>
  <si>
    <t>MPOB_031</t>
  </si>
  <si>
    <t>MPOB_032</t>
  </si>
  <si>
    <t>MPOB_033</t>
  </si>
  <si>
    <t>MPOB_034</t>
  </si>
  <si>
    <t>MPOB_035</t>
  </si>
  <si>
    <t>MPOB_036</t>
  </si>
  <si>
    <t>MPOB_037</t>
  </si>
  <si>
    <t>MPOB_038</t>
  </si>
  <si>
    <t>MPOB_039</t>
  </si>
  <si>
    <t>MPOB_040</t>
  </si>
  <si>
    <t>MPOB_041</t>
  </si>
  <si>
    <t>MPOB_042</t>
  </si>
  <si>
    <t>MPOB_043</t>
  </si>
  <si>
    <t>MPOB_044</t>
  </si>
  <si>
    <t>MPOB_045</t>
  </si>
  <si>
    <t>MPOB_046</t>
  </si>
  <si>
    <t>MPOB_047</t>
  </si>
  <si>
    <t>MPOB_048</t>
  </si>
  <si>
    <t>MPOB_049</t>
  </si>
  <si>
    <t>MPOB_050</t>
  </si>
  <si>
    <t>MPOB_051</t>
  </si>
  <si>
    <t>MPOB_052</t>
  </si>
  <si>
    <t>MPOB_053</t>
  </si>
  <si>
    <t>MPOB_054</t>
  </si>
  <si>
    <t>MPOB_055</t>
  </si>
  <si>
    <t>MPOB_056</t>
  </si>
  <si>
    <t>MPOB_057</t>
  </si>
  <si>
    <t>MPOB_058</t>
  </si>
  <si>
    <t>MPOB_059</t>
  </si>
  <si>
    <t>MPOB_060</t>
  </si>
  <si>
    <t>MPOB_061</t>
  </si>
  <si>
    <t>MPOB_062</t>
  </si>
  <si>
    <t>MPOB_063</t>
  </si>
  <si>
    <t>MPOB_064</t>
  </si>
  <si>
    <t>MPOB_065</t>
  </si>
  <si>
    <t>MPOB_066</t>
  </si>
  <si>
    <t>MPOB_067</t>
  </si>
  <si>
    <t>MPOB_068</t>
  </si>
  <si>
    <t>MPOB_069</t>
  </si>
  <si>
    <t>OD600_t1</t>
  </si>
  <si>
    <t>OD600_t2</t>
  </si>
  <si>
    <t>OD600_t3</t>
  </si>
  <si>
    <t>ctrl_media_1</t>
  </si>
  <si>
    <t>ctrl_media_2</t>
  </si>
  <si>
    <t>ctrl_media_3</t>
  </si>
  <si>
    <t>Nd_uM_t1</t>
  </si>
  <si>
    <t>Nd_uM_t2</t>
  </si>
  <si>
    <t xml:space="preserve">Nd_uM_t3 </t>
  </si>
  <si>
    <t>no_bacteria_Abs660_t1_arsenazo_assay</t>
  </si>
  <si>
    <t>Abs660_t1_arsenazo_assay</t>
  </si>
  <si>
    <t>Abs660_t2_arsenazo_assay</t>
  </si>
  <si>
    <t>Abs660_t3_arsenazo_assay</t>
  </si>
  <si>
    <t>Nd_uM_no_bacteria_Abs660_t1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</si>
</sst>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4666-0B71-EF44-83A4-7574AEF1DF8C}">
  <dimension ref="A1:V289"/>
  <sheetViews>
    <sheetView tabSelected="1" zoomScale="137" zoomScaleNormal="200" workbookViewId="0">
      <selection activeCell="F17" sqref="F17"/>
    </sheetView>
  </sheetViews>
  <sheetFormatPr baseColWidth="10" defaultRowHeight="16" x14ac:dyDescent="0.2"/>
  <cols>
    <col min="1" max="1" width="9.1640625" customWidth="1"/>
    <col min="2" max="2" width="5.5" customWidth="1"/>
    <col min="3" max="3" width="4.83203125" customWidth="1"/>
    <col min="4" max="4" width="3.33203125" customWidth="1"/>
    <col min="5" max="5" width="5.6640625" customWidth="1"/>
    <col min="6" max="6" width="5.33203125" customWidth="1"/>
    <col min="7" max="7" width="5.1640625" customWidth="1"/>
    <col min="8" max="8" width="2.6640625" customWidth="1"/>
    <col min="9" max="9" width="5.5" customWidth="1"/>
    <col min="10" max="10" width="6.5" customWidth="1"/>
    <col min="11" max="12" width="8.83203125" customWidth="1"/>
    <col min="13" max="13" width="11" customWidth="1"/>
    <col min="15" max="15" width="18.332031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1" t="s">
        <v>127</v>
      </c>
      <c r="H1" s="1" t="s">
        <v>5</v>
      </c>
      <c r="I1" s="1" t="s">
        <v>6</v>
      </c>
      <c r="J1" s="1" t="s">
        <v>128</v>
      </c>
      <c r="K1" s="1" t="s">
        <v>175</v>
      </c>
      <c r="L1" s="1" t="s">
        <v>176</v>
      </c>
      <c r="M1" s="1" t="s">
        <v>177</v>
      </c>
      <c r="N1" s="1" t="s">
        <v>185</v>
      </c>
      <c r="O1" s="1" t="s">
        <v>186</v>
      </c>
      <c r="P1" s="1" t="s">
        <v>187</v>
      </c>
      <c r="Q1" s="1" t="s">
        <v>184</v>
      </c>
      <c r="R1" s="1" t="s">
        <v>181</v>
      </c>
      <c r="S1" s="1" t="s">
        <v>182</v>
      </c>
      <c r="T1" s="1" t="s">
        <v>183</v>
      </c>
      <c r="U1" s="1" t="s">
        <v>188</v>
      </c>
      <c r="V1" s="1"/>
    </row>
    <row r="2" spans="1:22" x14ac:dyDescent="0.2">
      <c r="A2" s="1" t="s">
        <v>178</v>
      </c>
      <c r="B2" s="1">
        <v>0</v>
      </c>
      <c r="C2" s="1" t="s">
        <v>7</v>
      </c>
      <c r="D2" s="1">
        <v>1</v>
      </c>
      <c r="E2" s="1">
        <v>25</v>
      </c>
      <c r="F2" s="1">
        <v>50</v>
      </c>
      <c r="G2" s="1">
        <v>1E-3</v>
      </c>
      <c r="H2" s="1">
        <v>15</v>
      </c>
      <c r="I2" s="1">
        <v>125</v>
      </c>
      <c r="J2" s="1">
        <v>1E-3</v>
      </c>
      <c r="K2" s="2">
        <v>0.27810000000000001</v>
      </c>
      <c r="L2" s="1">
        <v>0.127</v>
      </c>
      <c r="M2" s="1">
        <v>0.32869999999999999</v>
      </c>
      <c r="N2">
        <v>6.3899999999999998E-2</v>
      </c>
      <c r="O2">
        <v>6.1400000000000003E-2</v>
      </c>
      <c r="P2">
        <v>6.6000000000000003E-2</v>
      </c>
      <c r="Q2">
        <v>7.51E-2</v>
      </c>
      <c r="R2">
        <f>(N2-0.0857)/0.01</f>
        <v>-2.1800000000000002</v>
      </c>
      <c r="S2">
        <f t="shared" ref="S2:T2" si="0">(O2-0.0857)/0.01</f>
        <v>-2.4299999999999993</v>
      </c>
      <c r="T2">
        <f t="shared" si="0"/>
        <v>-1.9699999999999995</v>
      </c>
      <c r="U2">
        <f>(Q2-0.0857)/0.01</f>
        <v>-1.0599999999999998</v>
      </c>
    </row>
    <row r="3" spans="1:22" x14ac:dyDescent="0.2">
      <c r="A3" s="1" t="s">
        <v>178</v>
      </c>
      <c r="B3" s="1">
        <v>0</v>
      </c>
      <c r="C3" s="1" t="s">
        <v>8</v>
      </c>
      <c r="D3" s="1">
        <v>1</v>
      </c>
      <c r="E3" s="1">
        <v>25</v>
      </c>
      <c r="F3" s="1">
        <v>50</v>
      </c>
      <c r="G3" s="1">
        <v>1E-3</v>
      </c>
      <c r="H3" s="1">
        <v>15</v>
      </c>
      <c r="I3" s="1">
        <v>125</v>
      </c>
      <c r="J3" s="1">
        <v>1E-3</v>
      </c>
      <c r="K3" s="2">
        <v>0.25790000000000002</v>
      </c>
      <c r="L3" s="1">
        <v>0.13500000000000001</v>
      </c>
      <c r="M3" s="1">
        <v>0.157</v>
      </c>
      <c r="N3">
        <v>5.96E-2</v>
      </c>
      <c r="O3">
        <v>6.3799999999999996E-2</v>
      </c>
      <c r="P3">
        <v>6.7000000000000004E-2</v>
      </c>
      <c r="Q3">
        <v>9.2200000000000004E-2</v>
      </c>
      <c r="R3">
        <f t="shared" ref="R3:R66" si="1">(N3-0.0857)/0.01</f>
        <v>-2.61</v>
      </c>
      <c r="S3">
        <f t="shared" ref="S3:S66" si="2">(O3-0.0857)/0.01</f>
        <v>-2.1900000000000004</v>
      </c>
      <c r="T3">
        <f t="shared" ref="T3:T66" si="3">(P3-0.0857)/0.01</f>
        <v>-1.8699999999999994</v>
      </c>
      <c r="U3">
        <f t="shared" ref="U3:U66" si="4">(Q3-0.0857)/0.01</f>
        <v>0.65000000000000058</v>
      </c>
    </row>
    <row r="4" spans="1:22" x14ac:dyDescent="0.2">
      <c r="A4" s="1" t="s">
        <v>178</v>
      </c>
      <c r="B4" s="1">
        <v>0</v>
      </c>
      <c r="C4" s="1" t="s">
        <v>9</v>
      </c>
      <c r="D4" s="1">
        <v>1</v>
      </c>
      <c r="E4" s="1">
        <v>25</v>
      </c>
      <c r="F4" s="1">
        <v>50</v>
      </c>
      <c r="G4" s="1">
        <v>1E-3</v>
      </c>
      <c r="H4" s="1">
        <v>15</v>
      </c>
      <c r="I4" s="1">
        <v>125</v>
      </c>
      <c r="J4" s="1">
        <v>1E-3</v>
      </c>
      <c r="K4" s="2">
        <v>0.1426</v>
      </c>
      <c r="L4" s="1">
        <v>0.12540000000000001</v>
      </c>
      <c r="M4" s="1">
        <v>0.48549999999999999</v>
      </c>
      <c r="N4">
        <v>6.4500000000000002E-2</v>
      </c>
      <c r="O4">
        <v>6.0999999999999999E-2</v>
      </c>
      <c r="P4">
        <v>8.3299999999999999E-2</v>
      </c>
      <c r="Q4">
        <v>8.6199999999999999E-2</v>
      </c>
      <c r="R4">
        <f>(N4-0.0857)/0.01</f>
        <v>-2.1199999999999997</v>
      </c>
      <c r="S4">
        <f t="shared" si="2"/>
        <v>-2.4699999999999998</v>
      </c>
      <c r="T4">
        <f t="shared" si="3"/>
        <v>-0.23999999999999994</v>
      </c>
      <c r="U4">
        <f t="shared" si="4"/>
        <v>5.0000000000000044E-2</v>
      </c>
    </row>
    <row r="5" spans="1:22" x14ac:dyDescent="0.2">
      <c r="A5" s="1" t="s">
        <v>178</v>
      </c>
      <c r="B5" s="1">
        <v>0</v>
      </c>
      <c r="C5" s="1" t="s">
        <v>10</v>
      </c>
      <c r="D5" s="1">
        <v>1</v>
      </c>
      <c r="E5" s="1">
        <v>25</v>
      </c>
      <c r="F5" s="1">
        <v>50</v>
      </c>
      <c r="G5" s="1">
        <v>1E-3</v>
      </c>
      <c r="H5" s="1">
        <v>15</v>
      </c>
      <c r="I5" s="1">
        <v>125</v>
      </c>
      <c r="J5" s="1">
        <v>1E-3</v>
      </c>
      <c r="K5" s="2">
        <v>0.1447</v>
      </c>
      <c r="L5" s="1">
        <v>0.13539999999999999</v>
      </c>
      <c r="M5" s="1">
        <v>0.66120000000000001</v>
      </c>
      <c r="N5">
        <v>7.3099999999999998E-2</v>
      </c>
      <c r="O5">
        <v>7.0199999999999999E-2</v>
      </c>
      <c r="P5">
        <v>8.3799999999999999E-2</v>
      </c>
      <c r="Q5">
        <v>8.8200000000000001E-2</v>
      </c>
      <c r="R5">
        <f t="shared" si="1"/>
        <v>-1.26</v>
      </c>
      <c r="S5">
        <f t="shared" si="2"/>
        <v>-1.55</v>
      </c>
      <c r="T5">
        <f t="shared" si="3"/>
        <v>-0.18999999999999989</v>
      </c>
      <c r="U5">
        <f t="shared" si="4"/>
        <v>0.25000000000000022</v>
      </c>
    </row>
    <row r="6" spans="1:22" x14ac:dyDescent="0.2">
      <c r="A6" s="1" t="s">
        <v>11</v>
      </c>
      <c r="B6" s="1">
        <v>1</v>
      </c>
      <c r="C6" s="1" t="s">
        <v>12</v>
      </c>
      <c r="D6" s="1">
        <v>1</v>
      </c>
      <c r="E6" s="1">
        <v>39.385477090254398</v>
      </c>
      <c r="F6" s="1">
        <v>98.820672409608903</v>
      </c>
      <c r="G6" s="1">
        <v>9.86728995461017E-3</v>
      </c>
      <c r="H6" s="1">
        <v>82.400969709455893</v>
      </c>
      <c r="I6" s="1">
        <v>131.82843516580701</v>
      </c>
      <c r="J6" s="1">
        <v>8.1876586764119495E-4</v>
      </c>
      <c r="K6" s="2">
        <v>0.1072</v>
      </c>
      <c r="L6" s="1">
        <v>0.19420000000000001</v>
      </c>
      <c r="M6" s="1">
        <v>0.1469</v>
      </c>
      <c r="N6">
        <v>7.7299999999999994E-2</v>
      </c>
      <c r="O6">
        <v>8.7900000000000006E-2</v>
      </c>
      <c r="P6">
        <v>0.1173</v>
      </c>
      <c r="Q6">
        <v>8.1000000000000003E-2</v>
      </c>
      <c r="R6">
        <f t="shared" si="1"/>
        <v>-0.84000000000000041</v>
      </c>
      <c r="S6">
        <f t="shared" si="2"/>
        <v>0.22000000000000075</v>
      </c>
      <c r="T6">
        <f t="shared" si="3"/>
        <v>3.16</v>
      </c>
      <c r="U6">
        <f t="shared" si="4"/>
        <v>-0.46999999999999958</v>
      </c>
    </row>
    <row r="7" spans="1:22" x14ac:dyDescent="0.2">
      <c r="A7" s="1" t="s">
        <v>11</v>
      </c>
      <c r="B7" s="1">
        <v>1</v>
      </c>
      <c r="C7" s="1" t="s">
        <v>13</v>
      </c>
      <c r="D7" s="1">
        <v>1</v>
      </c>
      <c r="E7" s="1">
        <v>39.385477090254398</v>
      </c>
      <c r="F7" s="1">
        <v>98.820672409608903</v>
      </c>
      <c r="G7" s="1">
        <v>9.86728995461017E-3</v>
      </c>
      <c r="H7" s="1">
        <v>82.400969709455893</v>
      </c>
      <c r="I7" s="1">
        <v>131.82843516580701</v>
      </c>
      <c r="J7" s="1">
        <v>8.1876586764119495E-4</v>
      </c>
      <c r="K7" s="2">
        <v>0.124</v>
      </c>
      <c r="L7" s="1">
        <v>0.18859999999999999</v>
      </c>
      <c r="M7" s="1">
        <v>0.12559999999999999</v>
      </c>
      <c r="N7">
        <v>8.1900000000000001E-2</v>
      </c>
      <c r="O7">
        <v>8.8400000000000006E-2</v>
      </c>
      <c r="P7">
        <v>8.3299999999999999E-2</v>
      </c>
      <c r="Q7">
        <v>8.3599999999999994E-2</v>
      </c>
      <c r="R7">
        <f t="shared" si="1"/>
        <v>-0.37999999999999978</v>
      </c>
      <c r="S7">
        <f t="shared" si="2"/>
        <v>0.27000000000000079</v>
      </c>
      <c r="T7">
        <f t="shared" si="3"/>
        <v>-0.23999999999999994</v>
      </c>
      <c r="U7">
        <f t="shared" si="4"/>
        <v>-0.21000000000000046</v>
      </c>
    </row>
    <row r="8" spans="1:22" x14ac:dyDescent="0.2">
      <c r="A8" s="1" t="s">
        <v>11</v>
      </c>
      <c r="B8" s="1">
        <v>1</v>
      </c>
      <c r="C8" s="1" t="s">
        <v>14</v>
      </c>
      <c r="D8" s="1">
        <v>1</v>
      </c>
      <c r="E8" s="1">
        <v>39.385477090254398</v>
      </c>
      <c r="F8" s="1">
        <v>98.820672409608903</v>
      </c>
      <c r="G8" s="1">
        <v>9.86728995461017E-3</v>
      </c>
      <c r="H8" s="1">
        <v>82.400969709455893</v>
      </c>
      <c r="I8" s="1">
        <v>131.82843516580701</v>
      </c>
      <c r="J8" s="1">
        <v>8.1876586764119495E-4</v>
      </c>
      <c r="K8" s="2">
        <v>0.1162</v>
      </c>
      <c r="L8" s="1">
        <v>0.1915</v>
      </c>
      <c r="M8" s="1">
        <v>0.1416</v>
      </c>
      <c r="N8">
        <v>8.8900000000000007E-2</v>
      </c>
      <c r="O8">
        <v>8.9300000000000004E-2</v>
      </c>
      <c r="P8">
        <v>0.1</v>
      </c>
      <c r="Q8">
        <v>9.0200000000000002E-2</v>
      </c>
      <c r="R8">
        <f t="shared" si="1"/>
        <v>0.32000000000000084</v>
      </c>
      <c r="S8">
        <f t="shared" si="2"/>
        <v>0.3600000000000006</v>
      </c>
      <c r="T8">
        <f t="shared" si="3"/>
        <v>1.4300000000000006</v>
      </c>
      <c r="U8">
        <f t="shared" si="4"/>
        <v>0.4500000000000004</v>
      </c>
    </row>
    <row r="9" spans="1:22" x14ac:dyDescent="0.2">
      <c r="A9" s="1" t="s">
        <v>11</v>
      </c>
      <c r="B9" s="1">
        <v>1</v>
      </c>
      <c r="C9" s="1" t="s">
        <v>15</v>
      </c>
      <c r="D9" s="1">
        <v>1</v>
      </c>
      <c r="E9" s="1">
        <v>39.385477090254398</v>
      </c>
      <c r="F9" s="1">
        <v>98.820672409608903</v>
      </c>
      <c r="G9" s="1">
        <v>9.86728995461017E-3</v>
      </c>
      <c r="H9" s="1">
        <v>82.400969709455893</v>
      </c>
      <c r="I9" s="1">
        <v>131.82843516580701</v>
      </c>
      <c r="J9" s="1">
        <v>8.1876586764119495E-4</v>
      </c>
      <c r="K9" s="2">
        <v>0.13189999999999999</v>
      </c>
      <c r="L9" s="1">
        <v>0.16550000000000001</v>
      </c>
      <c r="M9" s="1">
        <v>0.15790000000000001</v>
      </c>
      <c r="N9">
        <v>7.7299999999999994E-2</v>
      </c>
      <c r="O9">
        <v>8.1600000000000006E-2</v>
      </c>
      <c r="P9">
        <v>0.1052</v>
      </c>
      <c r="Q9">
        <v>8.0399999999999999E-2</v>
      </c>
      <c r="R9">
        <f t="shared" si="1"/>
        <v>-0.84000000000000041</v>
      </c>
      <c r="S9">
        <f t="shared" si="2"/>
        <v>-0.40999999999999925</v>
      </c>
      <c r="T9">
        <f t="shared" si="3"/>
        <v>1.9500000000000004</v>
      </c>
      <c r="U9">
        <f t="shared" si="4"/>
        <v>-0.52999999999999992</v>
      </c>
    </row>
    <row r="10" spans="1:22" x14ac:dyDescent="0.2">
      <c r="A10" s="1" t="s">
        <v>16</v>
      </c>
      <c r="B10" s="1">
        <v>2</v>
      </c>
      <c r="C10" s="1" t="s">
        <v>17</v>
      </c>
      <c r="D10" s="1">
        <v>1</v>
      </c>
      <c r="E10" s="1">
        <v>1.9774445150978801</v>
      </c>
      <c r="F10" s="1">
        <v>61.845080981962298</v>
      </c>
      <c r="G10" s="1">
        <v>8.4447457605972803E-2</v>
      </c>
      <c r="H10" s="1">
        <v>116.50605961903899</v>
      </c>
      <c r="I10" s="1">
        <v>138.671974288299</v>
      </c>
      <c r="J10" s="1">
        <v>1.5562218421604401E-3</v>
      </c>
      <c r="K10" s="1">
        <v>0.10929999999999999</v>
      </c>
      <c r="L10" s="1">
        <v>0.27100000000000002</v>
      </c>
      <c r="M10" s="1">
        <v>0.1686</v>
      </c>
      <c r="N10">
        <v>7.1599999999999997E-2</v>
      </c>
      <c r="O10">
        <v>7.8799999999999995E-2</v>
      </c>
      <c r="P10">
        <v>7.6999999999999999E-2</v>
      </c>
      <c r="Q10">
        <v>8.1900000000000001E-2</v>
      </c>
      <c r="R10">
        <f t="shared" si="1"/>
        <v>-1.4100000000000001</v>
      </c>
      <c r="S10">
        <f t="shared" si="2"/>
        <v>-0.69000000000000028</v>
      </c>
      <c r="T10">
        <f t="shared" si="3"/>
        <v>-0.86999999999999988</v>
      </c>
      <c r="U10">
        <f t="shared" si="4"/>
        <v>-0.37999999999999978</v>
      </c>
    </row>
    <row r="11" spans="1:22" x14ac:dyDescent="0.2">
      <c r="A11" s="1" t="s">
        <v>16</v>
      </c>
      <c r="B11" s="1">
        <v>2</v>
      </c>
      <c r="C11" s="1" t="s">
        <v>18</v>
      </c>
      <c r="D11" s="1">
        <v>1</v>
      </c>
      <c r="E11" s="1">
        <v>1.9774445150978801</v>
      </c>
      <c r="F11" s="1">
        <v>61.845080981962298</v>
      </c>
      <c r="G11" s="1">
        <v>8.4447457605972803E-2</v>
      </c>
      <c r="H11" s="1">
        <v>116.50605961903899</v>
      </c>
      <c r="I11" s="1">
        <v>138.671974288299</v>
      </c>
      <c r="J11" s="1">
        <v>1.5562218421604401E-3</v>
      </c>
      <c r="K11" s="1">
        <v>0.12470000000000001</v>
      </c>
      <c r="L11" s="1">
        <v>0.27989999999999998</v>
      </c>
      <c r="M11" s="1">
        <v>0.1656</v>
      </c>
      <c r="N11">
        <v>7.4399999999999994E-2</v>
      </c>
      <c r="O11">
        <v>7.5200000000000003E-2</v>
      </c>
      <c r="P11">
        <v>7.8399999999999997E-2</v>
      </c>
      <c r="Q11">
        <v>9.4299999999999995E-2</v>
      </c>
      <c r="R11">
        <f t="shared" si="1"/>
        <v>-1.1300000000000003</v>
      </c>
      <c r="S11">
        <f t="shared" si="2"/>
        <v>-1.0499999999999996</v>
      </c>
      <c r="T11">
        <f t="shared" si="3"/>
        <v>-0.73000000000000009</v>
      </c>
      <c r="U11">
        <f t="shared" si="4"/>
        <v>0.85999999999999965</v>
      </c>
    </row>
    <row r="12" spans="1:22" x14ac:dyDescent="0.2">
      <c r="A12" s="1" t="s">
        <v>16</v>
      </c>
      <c r="B12" s="1">
        <v>2</v>
      </c>
      <c r="C12" s="1" t="s">
        <v>19</v>
      </c>
      <c r="D12" s="1">
        <v>1</v>
      </c>
      <c r="E12" s="1">
        <v>1.9774445150978801</v>
      </c>
      <c r="F12" s="1">
        <v>61.845080981962298</v>
      </c>
      <c r="G12" s="1">
        <v>8.4447457605972803E-2</v>
      </c>
      <c r="H12" s="1">
        <v>116.50605961903899</v>
      </c>
      <c r="I12" s="1">
        <v>138.671974288299</v>
      </c>
      <c r="J12" s="1">
        <v>1.5562218421604401E-3</v>
      </c>
      <c r="K12" s="1">
        <v>0.1391</v>
      </c>
      <c r="L12" s="1">
        <v>0.29170000000000001</v>
      </c>
      <c r="M12" s="1">
        <v>0.19409999999999999</v>
      </c>
      <c r="N12">
        <v>8.5400000000000004E-2</v>
      </c>
      <c r="O12">
        <v>8.5099999999999995E-2</v>
      </c>
      <c r="P12">
        <v>0.13450000000000001</v>
      </c>
      <c r="Q12">
        <v>9.0399999999999994E-2</v>
      </c>
      <c r="R12">
        <f t="shared" si="1"/>
        <v>-2.9999999999999472E-2</v>
      </c>
      <c r="S12">
        <f t="shared" si="2"/>
        <v>-6.0000000000000331E-2</v>
      </c>
      <c r="T12">
        <f t="shared" si="3"/>
        <v>4.8800000000000008</v>
      </c>
      <c r="U12">
        <f t="shared" si="4"/>
        <v>0.46999999999999958</v>
      </c>
    </row>
    <row r="13" spans="1:22" x14ac:dyDescent="0.2">
      <c r="A13" s="1" t="s">
        <v>16</v>
      </c>
      <c r="B13" s="1">
        <v>2</v>
      </c>
      <c r="C13" s="1" t="s">
        <v>20</v>
      </c>
      <c r="D13" s="1">
        <v>1</v>
      </c>
      <c r="E13" s="1">
        <v>1.9774445150978801</v>
      </c>
      <c r="F13" s="1">
        <v>61.845080981962298</v>
      </c>
      <c r="G13" s="1">
        <v>8.4447457605972803E-2</v>
      </c>
      <c r="H13" s="1">
        <v>116.50605961903899</v>
      </c>
      <c r="I13" s="1">
        <v>138.671974288299</v>
      </c>
      <c r="J13" s="1">
        <v>1.5562218421604401E-3</v>
      </c>
      <c r="K13" s="1">
        <v>0.13200000000000001</v>
      </c>
      <c r="L13" s="1">
        <v>0.28060000000000002</v>
      </c>
      <c r="M13" s="1">
        <v>0.21060000000000001</v>
      </c>
      <c r="N13">
        <v>9.0200000000000002E-2</v>
      </c>
      <c r="O13">
        <v>0.34</v>
      </c>
      <c r="P13">
        <v>9.9099999999999994E-2</v>
      </c>
      <c r="Q13">
        <v>9.4200000000000006E-2</v>
      </c>
      <c r="R13">
        <f t="shared" si="1"/>
        <v>0.4500000000000004</v>
      </c>
      <c r="S13">
        <f t="shared" si="2"/>
        <v>25.430000000000003</v>
      </c>
      <c r="T13">
        <f t="shared" si="3"/>
        <v>1.3399999999999994</v>
      </c>
      <c r="U13">
        <f t="shared" si="4"/>
        <v>0.85000000000000075</v>
      </c>
    </row>
    <row r="14" spans="1:22" x14ac:dyDescent="0.2">
      <c r="A14" s="1" t="s">
        <v>21</v>
      </c>
      <c r="B14" s="1">
        <v>3</v>
      </c>
      <c r="C14" s="1" t="s">
        <v>22</v>
      </c>
      <c r="D14" s="1">
        <v>1</v>
      </c>
      <c r="E14" s="1">
        <v>40.145174299832398</v>
      </c>
      <c r="F14" s="1">
        <v>76.262129493057699</v>
      </c>
      <c r="G14" s="1">
        <v>8.3886568040587001E-2</v>
      </c>
      <c r="H14" s="1">
        <v>89.732715544849597</v>
      </c>
      <c r="I14" s="1">
        <v>72.953863008879097</v>
      </c>
      <c r="J14" s="1">
        <v>1.4476775359362302E-4</v>
      </c>
      <c r="K14" s="1">
        <v>0.13930000000000001</v>
      </c>
      <c r="L14" s="1">
        <v>0.24310000000000001</v>
      </c>
      <c r="M14" s="1">
        <v>0.18049999999999999</v>
      </c>
      <c r="N14">
        <v>7.6399999999999996E-2</v>
      </c>
      <c r="O14">
        <v>8.7900000000000006E-2</v>
      </c>
      <c r="P14">
        <v>0.1003</v>
      </c>
      <c r="Q14">
        <v>8.2799999999999999E-2</v>
      </c>
      <c r="R14">
        <f t="shared" si="1"/>
        <v>-0.93000000000000027</v>
      </c>
      <c r="S14">
        <f t="shared" si="2"/>
        <v>0.22000000000000075</v>
      </c>
      <c r="T14">
        <f t="shared" si="3"/>
        <v>1.4600000000000002</v>
      </c>
      <c r="U14">
        <f t="shared" si="4"/>
        <v>-0.28999999999999998</v>
      </c>
    </row>
    <row r="15" spans="1:22" x14ac:dyDescent="0.2">
      <c r="A15" s="1" t="s">
        <v>21</v>
      </c>
      <c r="B15" s="1">
        <v>3</v>
      </c>
      <c r="C15" s="1" t="s">
        <v>23</v>
      </c>
      <c r="D15" s="1">
        <v>1</v>
      </c>
      <c r="E15" s="1">
        <v>40.145174299832398</v>
      </c>
      <c r="F15" s="1">
        <v>76.262129493057699</v>
      </c>
      <c r="G15" s="1">
        <v>8.3886568040587001E-2</v>
      </c>
      <c r="H15" s="1">
        <v>89.732715544849597</v>
      </c>
      <c r="I15" s="1">
        <v>72.953863008879097</v>
      </c>
      <c r="J15" s="1">
        <v>1.4476775359362302E-4</v>
      </c>
      <c r="K15" s="1">
        <v>0.11849999999999999</v>
      </c>
      <c r="L15" s="1">
        <v>0.22120000000000001</v>
      </c>
      <c r="M15" s="1">
        <v>0.1772</v>
      </c>
      <c r="N15">
        <v>7.7399999999999997E-2</v>
      </c>
      <c r="O15">
        <v>9.5000000000000001E-2</v>
      </c>
      <c r="P15">
        <v>9.6500000000000002E-2</v>
      </c>
      <c r="Q15">
        <v>7.7799999999999994E-2</v>
      </c>
      <c r="R15">
        <f t="shared" si="1"/>
        <v>-0.83000000000000018</v>
      </c>
      <c r="S15">
        <f t="shared" si="2"/>
        <v>0.93000000000000027</v>
      </c>
      <c r="T15">
        <f t="shared" si="3"/>
        <v>1.0800000000000003</v>
      </c>
      <c r="U15">
        <f t="shared" si="4"/>
        <v>-0.79000000000000037</v>
      </c>
    </row>
    <row r="16" spans="1:22" x14ac:dyDescent="0.2">
      <c r="A16" s="1" t="s">
        <v>21</v>
      </c>
      <c r="B16" s="1">
        <v>3</v>
      </c>
      <c r="C16" s="1" t="s">
        <v>24</v>
      </c>
      <c r="D16" s="1">
        <v>1</v>
      </c>
      <c r="E16" s="1">
        <v>40.145174299832398</v>
      </c>
      <c r="F16" s="1">
        <v>76.262129493057699</v>
      </c>
      <c r="G16" s="1">
        <v>8.3886568040587001E-2</v>
      </c>
      <c r="H16" s="1">
        <v>89.732715544849597</v>
      </c>
      <c r="I16" s="1">
        <v>72.953863008879097</v>
      </c>
      <c r="J16" s="1">
        <v>1.4476775359362302E-4</v>
      </c>
      <c r="K16" s="1">
        <v>0.14549999999999999</v>
      </c>
      <c r="L16" s="1">
        <v>0.24340000000000001</v>
      </c>
      <c r="M16" s="1">
        <v>0.15920000000000001</v>
      </c>
      <c r="N16">
        <v>8.77E-2</v>
      </c>
      <c r="O16">
        <v>0.10440000000000001</v>
      </c>
      <c r="P16">
        <v>0.10440000000000001</v>
      </c>
      <c r="Q16">
        <v>8.77E-2</v>
      </c>
      <c r="R16">
        <f t="shared" si="1"/>
        <v>0.20000000000000018</v>
      </c>
      <c r="S16">
        <f t="shared" si="2"/>
        <v>1.8700000000000008</v>
      </c>
      <c r="T16">
        <f t="shared" si="3"/>
        <v>1.8700000000000008</v>
      </c>
      <c r="U16">
        <f t="shared" si="4"/>
        <v>0.20000000000000018</v>
      </c>
    </row>
    <row r="17" spans="1:21" x14ac:dyDescent="0.2">
      <c r="A17" s="1" t="s">
        <v>21</v>
      </c>
      <c r="B17" s="1">
        <v>3</v>
      </c>
      <c r="C17" s="1" t="s">
        <v>25</v>
      </c>
      <c r="D17" s="1">
        <v>1</v>
      </c>
      <c r="E17" s="1">
        <v>40.145174299832398</v>
      </c>
      <c r="F17" s="1">
        <v>76.262129493057699</v>
      </c>
      <c r="G17" s="1">
        <v>8.3886568040587001E-2</v>
      </c>
      <c r="H17" s="1">
        <v>89.732715544849597</v>
      </c>
      <c r="I17" s="1">
        <v>72.953863008879097</v>
      </c>
      <c r="J17" s="1">
        <v>1.4476775359362302E-4</v>
      </c>
      <c r="K17" s="1">
        <v>0.1293</v>
      </c>
      <c r="L17" s="1">
        <v>0.21879999999999999</v>
      </c>
      <c r="M17" s="1">
        <v>0.21229999999999999</v>
      </c>
      <c r="N17">
        <v>7.7700000000000005E-2</v>
      </c>
      <c r="O17">
        <v>8.0799999999999997E-2</v>
      </c>
      <c r="P17">
        <v>8.2799999999999999E-2</v>
      </c>
      <c r="Q17">
        <v>7.8399999999999997E-2</v>
      </c>
      <c r="R17">
        <f t="shared" si="1"/>
        <v>-0.79999999999999927</v>
      </c>
      <c r="S17">
        <f t="shared" si="2"/>
        <v>-0.49000000000000016</v>
      </c>
      <c r="T17">
        <f t="shared" si="3"/>
        <v>-0.28999999999999998</v>
      </c>
      <c r="U17">
        <f t="shared" si="4"/>
        <v>-0.73000000000000009</v>
      </c>
    </row>
    <row r="18" spans="1:21" x14ac:dyDescent="0.2">
      <c r="A18" s="1" t="s">
        <v>26</v>
      </c>
      <c r="B18" s="1">
        <v>4</v>
      </c>
      <c r="C18" s="1" t="s">
        <v>27</v>
      </c>
      <c r="D18" s="1">
        <v>1</v>
      </c>
      <c r="E18" s="1">
        <v>17.965834881178999</v>
      </c>
      <c r="F18" s="1">
        <v>30.077484808862199</v>
      </c>
      <c r="G18" s="1">
        <v>1.85346032492816E-3</v>
      </c>
      <c r="H18" s="1">
        <v>148.95524360388501</v>
      </c>
      <c r="I18" s="1">
        <v>22.792991199530601</v>
      </c>
      <c r="J18" s="1">
        <v>4.9619088203180497E-3</v>
      </c>
      <c r="K18" s="1">
        <v>0.12759999999999999</v>
      </c>
      <c r="L18" s="1">
        <v>0.2525</v>
      </c>
      <c r="M18" s="1">
        <v>0.2477</v>
      </c>
      <c r="N18">
        <v>7.7200000000000005E-2</v>
      </c>
      <c r="O18">
        <v>0.31780000000000003</v>
      </c>
      <c r="P18">
        <v>8.6300000000000002E-2</v>
      </c>
      <c r="Q18">
        <v>8.7400000000000005E-2</v>
      </c>
      <c r="R18">
        <f t="shared" si="1"/>
        <v>-0.84999999999999931</v>
      </c>
      <c r="S18">
        <f t="shared" si="2"/>
        <v>23.21</v>
      </c>
      <c r="T18">
        <f t="shared" si="3"/>
        <v>6.0000000000000331E-2</v>
      </c>
      <c r="U18">
        <f t="shared" si="4"/>
        <v>0.17000000000000071</v>
      </c>
    </row>
    <row r="19" spans="1:21" x14ac:dyDescent="0.2">
      <c r="A19" s="1" t="s">
        <v>26</v>
      </c>
      <c r="B19" s="1">
        <v>4</v>
      </c>
      <c r="C19" s="1" t="s">
        <v>28</v>
      </c>
      <c r="D19" s="1">
        <v>1</v>
      </c>
      <c r="E19" s="1">
        <v>17.965834881178999</v>
      </c>
      <c r="F19" s="1">
        <v>30.077484808862199</v>
      </c>
      <c r="G19" s="1">
        <v>1.85346032492816E-3</v>
      </c>
      <c r="H19" s="1">
        <v>148.95524360388501</v>
      </c>
      <c r="I19" s="1">
        <v>22.792991199530601</v>
      </c>
      <c r="J19" s="1">
        <v>4.9619088203180497E-3</v>
      </c>
      <c r="K19" s="1">
        <v>0.14599999999999999</v>
      </c>
      <c r="L19" s="1">
        <v>0.12609999999999999</v>
      </c>
      <c r="M19" s="1">
        <v>0.28520000000000001</v>
      </c>
      <c r="N19">
        <v>8.0500000000000002E-2</v>
      </c>
      <c r="O19">
        <v>5.3400000000000003E-2</v>
      </c>
      <c r="P19">
        <v>8.1799999999999998E-2</v>
      </c>
      <c r="Q19">
        <v>9.2299999999999993E-2</v>
      </c>
      <c r="R19">
        <f t="shared" si="1"/>
        <v>-0.51999999999999957</v>
      </c>
      <c r="S19">
        <f t="shared" si="2"/>
        <v>-3.2299999999999995</v>
      </c>
      <c r="T19">
        <f t="shared" si="3"/>
        <v>-0.39000000000000007</v>
      </c>
      <c r="U19">
        <f t="shared" si="4"/>
        <v>0.65999999999999948</v>
      </c>
    </row>
    <row r="20" spans="1:21" x14ac:dyDescent="0.2">
      <c r="A20" s="1" t="s">
        <v>26</v>
      </c>
      <c r="B20" s="1">
        <v>4</v>
      </c>
      <c r="C20" s="1" t="s">
        <v>29</v>
      </c>
      <c r="D20" s="1">
        <v>1</v>
      </c>
      <c r="E20" s="1">
        <v>17.965834881178999</v>
      </c>
      <c r="F20" s="1">
        <v>30.077484808862199</v>
      </c>
      <c r="G20" s="1">
        <v>1.85346032492816E-3</v>
      </c>
      <c r="H20" s="1">
        <v>148.95524360388501</v>
      </c>
      <c r="I20" s="1">
        <v>22.792991199530601</v>
      </c>
      <c r="J20" s="1">
        <v>4.9619088203180497E-3</v>
      </c>
      <c r="K20" s="1">
        <v>0.14879999999999999</v>
      </c>
      <c r="L20" s="1">
        <v>0.2412</v>
      </c>
      <c r="M20" s="1">
        <v>0.27960000000000002</v>
      </c>
      <c r="N20">
        <v>8.2900000000000001E-2</v>
      </c>
      <c r="O20">
        <v>1.1817</v>
      </c>
      <c r="P20">
        <v>8.2100000000000006E-2</v>
      </c>
      <c r="Q20">
        <v>8.6499999999999994E-2</v>
      </c>
      <c r="R20">
        <f t="shared" si="1"/>
        <v>-0.27999999999999969</v>
      </c>
      <c r="S20">
        <f t="shared" si="2"/>
        <v>109.60000000000001</v>
      </c>
      <c r="T20">
        <f t="shared" si="3"/>
        <v>-0.35999999999999921</v>
      </c>
      <c r="U20">
        <f t="shared" si="4"/>
        <v>7.9999999999999516E-2</v>
      </c>
    </row>
    <row r="21" spans="1:21" x14ac:dyDescent="0.2">
      <c r="A21" s="1" t="s">
        <v>26</v>
      </c>
      <c r="B21" s="1">
        <v>4</v>
      </c>
      <c r="C21" s="1" t="s">
        <v>30</v>
      </c>
      <c r="D21" s="1">
        <v>1</v>
      </c>
      <c r="E21" s="1">
        <v>17.965834881178999</v>
      </c>
      <c r="F21" s="1">
        <v>30.077484808862199</v>
      </c>
      <c r="G21" s="1">
        <v>1.85346032492816E-3</v>
      </c>
      <c r="H21" s="1">
        <v>148.95524360388501</v>
      </c>
      <c r="I21" s="1">
        <v>22.792991199530601</v>
      </c>
      <c r="J21" s="1">
        <v>4.9619088203180497E-3</v>
      </c>
      <c r="K21" s="1">
        <v>0.17649999999999999</v>
      </c>
      <c r="L21" s="1">
        <v>0.28420000000000001</v>
      </c>
      <c r="M21" s="1">
        <v>0.28510000000000002</v>
      </c>
      <c r="N21">
        <v>8.7900000000000006E-2</v>
      </c>
      <c r="O21">
        <v>0.10920000000000001</v>
      </c>
      <c r="P21">
        <v>8.7900000000000006E-2</v>
      </c>
      <c r="Q21">
        <v>8.8599999999999998E-2</v>
      </c>
      <c r="R21">
        <f t="shared" si="1"/>
        <v>0.22000000000000075</v>
      </c>
      <c r="S21">
        <f t="shared" si="2"/>
        <v>2.3500000000000005</v>
      </c>
      <c r="T21">
        <f t="shared" si="3"/>
        <v>0.22000000000000075</v>
      </c>
      <c r="U21">
        <f t="shared" si="4"/>
        <v>0.28999999999999998</v>
      </c>
    </row>
    <row r="22" spans="1:21" x14ac:dyDescent="0.2">
      <c r="A22" s="1" t="s">
        <v>31</v>
      </c>
      <c r="B22" s="1">
        <v>5</v>
      </c>
      <c r="C22" s="1" t="s">
        <v>32</v>
      </c>
      <c r="D22" s="1">
        <v>1</v>
      </c>
      <c r="E22" s="1">
        <v>0.81264880625531</v>
      </c>
      <c r="F22" s="1">
        <v>98.408262422308297</v>
      </c>
      <c r="G22" s="1">
        <v>5.5257532438263299E-2</v>
      </c>
      <c r="H22" s="1">
        <v>126.089673971384</v>
      </c>
      <c r="I22" s="1">
        <v>119.58133930340399</v>
      </c>
      <c r="J22" s="1">
        <v>5.9746408192440804E-4</v>
      </c>
      <c r="K22" s="1">
        <v>0.12429999999999999</v>
      </c>
      <c r="L22" s="1">
        <v>0.13719999999999999</v>
      </c>
      <c r="M22" s="1">
        <v>0.15790000000000001</v>
      </c>
      <c r="N22">
        <v>8.4500000000000006E-2</v>
      </c>
      <c r="O22">
        <v>0.21840000000000001</v>
      </c>
      <c r="P22">
        <v>8.5000000000000006E-2</v>
      </c>
      <c r="Q22">
        <v>8.8499999999999995E-2</v>
      </c>
      <c r="R22">
        <f t="shared" si="1"/>
        <v>-0.11999999999999927</v>
      </c>
      <c r="S22">
        <f t="shared" si="2"/>
        <v>13.270000000000001</v>
      </c>
      <c r="T22">
        <f t="shared" si="3"/>
        <v>-6.999999999999923E-2</v>
      </c>
      <c r="U22">
        <f t="shared" si="4"/>
        <v>0.27999999999999969</v>
      </c>
    </row>
    <row r="23" spans="1:21" x14ac:dyDescent="0.2">
      <c r="A23" s="1" t="s">
        <v>31</v>
      </c>
      <c r="B23" s="1">
        <v>5</v>
      </c>
      <c r="C23" s="1" t="s">
        <v>33</v>
      </c>
      <c r="D23" s="1">
        <v>1</v>
      </c>
      <c r="E23" s="1">
        <v>0.81264880625531</v>
      </c>
      <c r="F23" s="1">
        <v>98.408262422308297</v>
      </c>
      <c r="G23" s="1">
        <v>5.5257532438263299E-2</v>
      </c>
      <c r="H23" s="1">
        <v>126.089673971384</v>
      </c>
      <c r="I23" s="1">
        <v>119.58133930340399</v>
      </c>
      <c r="J23" s="1">
        <v>5.9746408192440804E-4</v>
      </c>
      <c r="K23" s="1">
        <v>0.1203</v>
      </c>
      <c r="L23" s="1">
        <v>0.10059999999999999</v>
      </c>
      <c r="M23" s="1">
        <v>0.1231</v>
      </c>
      <c r="N23">
        <v>8.6999999999999994E-2</v>
      </c>
      <c r="O23">
        <v>8.5199999999999998E-2</v>
      </c>
      <c r="P23">
        <v>8.3799999999999999E-2</v>
      </c>
      <c r="Q23">
        <v>8.8900000000000007E-2</v>
      </c>
      <c r="R23">
        <f t="shared" si="1"/>
        <v>0.12999999999999956</v>
      </c>
      <c r="S23">
        <f t="shared" si="2"/>
        <v>-5.0000000000000044E-2</v>
      </c>
      <c r="T23">
        <f t="shared" si="3"/>
        <v>-0.18999999999999989</v>
      </c>
      <c r="U23">
        <f t="shared" si="4"/>
        <v>0.32000000000000084</v>
      </c>
    </row>
    <row r="24" spans="1:21" x14ac:dyDescent="0.2">
      <c r="A24" s="1" t="s">
        <v>31</v>
      </c>
      <c r="B24" s="1">
        <v>5</v>
      </c>
      <c r="C24" s="1" t="s">
        <v>34</v>
      </c>
      <c r="D24" s="1">
        <v>1</v>
      </c>
      <c r="E24" s="1">
        <v>0.81264880625531</v>
      </c>
      <c r="F24" s="1">
        <v>98.408262422308297</v>
      </c>
      <c r="G24" s="1">
        <v>5.5257532438263299E-2</v>
      </c>
      <c r="H24" s="1">
        <v>126.089673971384</v>
      </c>
      <c r="I24" s="1">
        <v>119.58133930340399</v>
      </c>
      <c r="J24" s="1">
        <v>5.9746408192440804E-4</v>
      </c>
      <c r="K24" s="1">
        <v>0.26989999999999997</v>
      </c>
      <c r="L24" s="1">
        <v>0.1193</v>
      </c>
      <c r="M24" s="1">
        <v>0.15279999999999999</v>
      </c>
      <c r="N24">
        <v>9.4899999999999998E-2</v>
      </c>
      <c r="O24">
        <v>9.3100000000000002E-2</v>
      </c>
      <c r="P24">
        <v>9.5699999999999993E-2</v>
      </c>
      <c r="Q24">
        <v>9.5699999999999993E-2</v>
      </c>
      <c r="R24">
        <f t="shared" si="1"/>
        <v>0.91999999999999993</v>
      </c>
      <c r="S24">
        <f t="shared" si="2"/>
        <v>0.74000000000000032</v>
      </c>
      <c r="T24">
        <f t="shared" si="3"/>
        <v>0.99999999999999944</v>
      </c>
      <c r="U24">
        <f t="shared" si="4"/>
        <v>0.99999999999999944</v>
      </c>
    </row>
    <row r="25" spans="1:21" x14ac:dyDescent="0.2">
      <c r="A25" s="1" t="s">
        <v>31</v>
      </c>
      <c r="B25" s="1">
        <v>5</v>
      </c>
      <c r="C25" s="1" t="s">
        <v>35</v>
      </c>
      <c r="D25" s="1">
        <v>1</v>
      </c>
      <c r="E25" s="1">
        <v>0.81264880625531</v>
      </c>
      <c r="F25" s="1">
        <v>98.408262422308297</v>
      </c>
      <c r="G25" s="1">
        <v>5.5257532438263299E-2</v>
      </c>
      <c r="H25" s="1">
        <v>126.089673971384</v>
      </c>
      <c r="I25" s="1">
        <v>119.58133930340399</v>
      </c>
      <c r="J25" s="1">
        <v>5.9746408192440804E-4</v>
      </c>
      <c r="K25" s="1">
        <v>0.1163</v>
      </c>
      <c r="L25" s="1">
        <v>0.18279999999999999</v>
      </c>
      <c r="M25" s="1">
        <v>0.16750000000000001</v>
      </c>
      <c r="N25">
        <v>8.4199999999999997E-2</v>
      </c>
      <c r="O25">
        <v>8.3699999999999997E-2</v>
      </c>
      <c r="P25">
        <v>9.6600000000000005E-2</v>
      </c>
      <c r="Q25">
        <v>8.7099999999999997E-2</v>
      </c>
      <c r="R25">
        <f t="shared" si="1"/>
        <v>-0.15000000000000013</v>
      </c>
      <c r="S25">
        <f t="shared" si="2"/>
        <v>-0.20000000000000018</v>
      </c>
      <c r="T25">
        <f t="shared" si="3"/>
        <v>1.0900000000000007</v>
      </c>
      <c r="U25">
        <f t="shared" si="4"/>
        <v>0.13999999999999985</v>
      </c>
    </row>
    <row r="26" spans="1:21" x14ac:dyDescent="0.2">
      <c r="A26" s="1" t="s">
        <v>36</v>
      </c>
      <c r="B26" s="1">
        <v>6</v>
      </c>
      <c r="C26" s="1" t="s">
        <v>37</v>
      </c>
      <c r="D26" s="1">
        <v>1</v>
      </c>
      <c r="E26" s="1">
        <v>23.0022299508564</v>
      </c>
      <c r="F26" s="1">
        <v>31.467300863936501</v>
      </c>
      <c r="G26" s="1">
        <v>9.7122458979487403E-2</v>
      </c>
      <c r="H26" s="1">
        <v>143.71259745955399</v>
      </c>
      <c r="I26" s="1">
        <v>149.279992212541</v>
      </c>
      <c r="J26" s="1">
        <v>1.46467626690864E-3</v>
      </c>
      <c r="K26" s="1">
        <v>0.1202</v>
      </c>
      <c r="L26" s="1">
        <v>0.1835</v>
      </c>
      <c r="M26" s="1">
        <v>0.23749999999999999</v>
      </c>
      <c r="N26">
        <v>7.3099999999999998E-2</v>
      </c>
      <c r="O26">
        <v>0.08</v>
      </c>
      <c r="P26">
        <v>8.1600000000000006E-2</v>
      </c>
      <c r="Q26">
        <v>8.5699999999999998E-2</v>
      </c>
      <c r="R26">
        <f t="shared" si="1"/>
        <v>-1.26</v>
      </c>
      <c r="S26">
        <f t="shared" si="2"/>
        <v>-0.56999999999999962</v>
      </c>
      <c r="T26">
        <f t="shared" si="3"/>
        <v>-0.40999999999999925</v>
      </c>
      <c r="U26">
        <f t="shared" si="4"/>
        <v>0</v>
      </c>
    </row>
    <row r="27" spans="1:21" x14ac:dyDescent="0.2">
      <c r="A27" s="1" t="s">
        <v>36</v>
      </c>
      <c r="B27" s="1">
        <v>6</v>
      </c>
      <c r="C27" s="1" t="s">
        <v>38</v>
      </c>
      <c r="D27" s="1">
        <v>1</v>
      </c>
      <c r="E27" s="1">
        <v>23.0022299508564</v>
      </c>
      <c r="F27" s="1">
        <v>31.467300863936501</v>
      </c>
      <c r="G27" s="1">
        <v>9.7122458979487403E-2</v>
      </c>
      <c r="H27" s="1">
        <v>143.71259745955399</v>
      </c>
      <c r="I27" s="1">
        <v>149.279992212541</v>
      </c>
      <c r="J27" s="1">
        <v>1.46467626690864E-3</v>
      </c>
      <c r="K27" s="1">
        <v>0.13059999999999999</v>
      </c>
      <c r="L27" s="1">
        <v>0.24959999999999999</v>
      </c>
      <c r="M27" s="1">
        <v>0.2404</v>
      </c>
      <c r="N27">
        <v>7.7200000000000005E-2</v>
      </c>
      <c r="O27">
        <v>7.5700000000000003E-2</v>
      </c>
      <c r="P27">
        <v>8.0100000000000005E-2</v>
      </c>
      <c r="Q27">
        <v>8.9899999999999994E-2</v>
      </c>
      <c r="R27">
        <f t="shared" si="1"/>
        <v>-0.84999999999999931</v>
      </c>
      <c r="S27">
        <f t="shared" si="2"/>
        <v>-0.99999999999999944</v>
      </c>
      <c r="T27">
        <f t="shared" si="3"/>
        <v>-0.55999999999999939</v>
      </c>
      <c r="U27">
        <f t="shared" si="4"/>
        <v>0.41999999999999954</v>
      </c>
    </row>
    <row r="28" spans="1:21" x14ac:dyDescent="0.2">
      <c r="A28" s="1" t="s">
        <v>36</v>
      </c>
      <c r="B28" s="1">
        <v>6</v>
      </c>
      <c r="C28" s="1" t="s">
        <v>39</v>
      </c>
      <c r="D28" s="1">
        <v>1</v>
      </c>
      <c r="E28" s="1">
        <v>23.0022299508564</v>
      </c>
      <c r="F28" s="1">
        <v>31.467300863936501</v>
      </c>
      <c r="G28" s="1">
        <v>9.7122458979487403E-2</v>
      </c>
      <c r="H28" s="1">
        <v>143.71259745955399</v>
      </c>
      <c r="I28" s="1">
        <v>149.279992212541</v>
      </c>
      <c r="J28" s="1">
        <v>1.46467626690864E-3</v>
      </c>
      <c r="K28" s="1">
        <v>0.14449999999999999</v>
      </c>
      <c r="L28" s="1">
        <v>0.27579999999999999</v>
      </c>
      <c r="M28" s="1">
        <v>0.25019999999999998</v>
      </c>
      <c r="N28">
        <v>7.9100000000000004E-2</v>
      </c>
      <c r="O28">
        <v>0.1545</v>
      </c>
      <c r="P28">
        <v>8.3900000000000002E-2</v>
      </c>
      <c r="Q28">
        <v>8.5500000000000007E-2</v>
      </c>
      <c r="R28">
        <f t="shared" si="1"/>
        <v>-0.65999999999999948</v>
      </c>
      <c r="S28">
        <f t="shared" si="2"/>
        <v>6.88</v>
      </c>
      <c r="T28">
        <f t="shared" si="3"/>
        <v>-0.1799999999999996</v>
      </c>
      <c r="U28">
        <f t="shared" si="4"/>
        <v>-1.9999999999999185E-2</v>
      </c>
    </row>
    <row r="29" spans="1:21" x14ac:dyDescent="0.2">
      <c r="A29" s="1" t="s">
        <v>36</v>
      </c>
      <c r="B29" s="1">
        <v>6</v>
      </c>
      <c r="C29" s="1" t="s">
        <v>40</v>
      </c>
      <c r="D29" s="1">
        <v>1</v>
      </c>
      <c r="E29" s="1">
        <v>23.0022299508564</v>
      </c>
      <c r="F29" s="1">
        <v>31.467300863936501</v>
      </c>
      <c r="G29" s="1">
        <v>9.7122458979487403E-2</v>
      </c>
      <c r="H29" s="1">
        <v>143.71259745955399</v>
      </c>
      <c r="I29" s="1">
        <v>149.279992212541</v>
      </c>
      <c r="J29" s="1">
        <v>1.46467626690864E-3</v>
      </c>
      <c r="K29" s="1">
        <v>0.1482</v>
      </c>
      <c r="L29" s="1">
        <v>0.30480000000000002</v>
      </c>
      <c r="M29" s="1">
        <v>0.24859999999999999</v>
      </c>
      <c r="N29">
        <v>8.77E-2</v>
      </c>
      <c r="O29">
        <v>9.8000000000000004E-2</v>
      </c>
      <c r="P29">
        <v>0.14069999999999999</v>
      </c>
      <c r="Q29">
        <v>8.1299999999999997E-2</v>
      </c>
      <c r="R29">
        <f t="shared" si="1"/>
        <v>0.20000000000000018</v>
      </c>
      <c r="S29">
        <f t="shared" si="2"/>
        <v>1.2300000000000004</v>
      </c>
      <c r="T29">
        <f t="shared" si="3"/>
        <v>5.4999999999999991</v>
      </c>
      <c r="U29">
        <f t="shared" si="4"/>
        <v>-0.44000000000000011</v>
      </c>
    </row>
    <row r="30" spans="1:21" x14ac:dyDescent="0.2">
      <c r="A30" s="1" t="s">
        <v>41</v>
      </c>
      <c r="B30" s="1">
        <v>7</v>
      </c>
      <c r="C30" s="1" t="s">
        <v>42</v>
      </c>
      <c r="D30" s="1">
        <v>1</v>
      </c>
      <c r="E30" s="1">
        <v>47.886712159961398</v>
      </c>
      <c r="F30" s="1">
        <v>51.728576443157998</v>
      </c>
      <c r="G30" s="1">
        <v>8.7603115716204008E-2</v>
      </c>
      <c r="H30" s="1">
        <v>96.436404937505699</v>
      </c>
      <c r="I30" s="1">
        <v>29.7282040352001</v>
      </c>
      <c r="J30" s="1">
        <v>9.908614116720849E-5</v>
      </c>
      <c r="K30" s="1">
        <v>0.14480000000000001</v>
      </c>
      <c r="L30" s="1">
        <v>0.25609999999999999</v>
      </c>
      <c r="M30" s="1">
        <v>0.2455</v>
      </c>
      <c r="N30">
        <v>7.8700000000000006E-2</v>
      </c>
      <c r="O30">
        <v>8.43E-2</v>
      </c>
      <c r="P30">
        <v>8.2100000000000006E-2</v>
      </c>
      <c r="Q30">
        <v>7.7799999999999994E-2</v>
      </c>
      <c r="R30">
        <f t="shared" si="1"/>
        <v>-0.69999999999999918</v>
      </c>
      <c r="S30">
        <f t="shared" si="2"/>
        <v>-0.13999999999999985</v>
      </c>
      <c r="T30">
        <f t="shared" si="3"/>
        <v>-0.35999999999999921</v>
      </c>
      <c r="U30">
        <f t="shared" si="4"/>
        <v>-0.79000000000000037</v>
      </c>
    </row>
    <row r="31" spans="1:21" x14ac:dyDescent="0.2">
      <c r="A31" s="1" t="s">
        <v>41</v>
      </c>
      <c r="B31" s="1">
        <v>7</v>
      </c>
      <c r="C31" s="1" t="s">
        <v>43</v>
      </c>
      <c r="D31" s="1">
        <v>1</v>
      </c>
      <c r="E31" s="1">
        <v>47.886712159961398</v>
      </c>
      <c r="F31" s="1">
        <v>51.728576443157998</v>
      </c>
      <c r="G31" s="1">
        <v>8.7603115716204008E-2</v>
      </c>
      <c r="H31" s="1">
        <v>96.436404937505699</v>
      </c>
      <c r="I31" s="1">
        <v>29.7282040352001</v>
      </c>
      <c r="J31" s="1">
        <v>9.908614116720849E-5</v>
      </c>
      <c r="K31" s="1">
        <v>0.13819999999999999</v>
      </c>
      <c r="L31" s="1">
        <v>0.24460000000000001</v>
      </c>
      <c r="M31" s="1">
        <v>0.1782</v>
      </c>
      <c r="N31">
        <v>8.0799999999999997E-2</v>
      </c>
      <c r="O31">
        <v>8.6999999999999994E-2</v>
      </c>
      <c r="P31">
        <v>0.1</v>
      </c>
      <c r="Q31">
        <v>8.0500000000000002E-2</v>
      </c>
      <c r="R31">
        <f t="shared" si="1"/>
        <v>-0.49000000000000016</v>
      </c>
      <c r="S31">
        <f t="shared" si="2"/>
        <v>0.12999999999999956</v>
      </c>
      <c r="T31">
        <f t="shared" si="3"/>
        <v>1.4300000000000006</v>
      </c>
      <c r="U31">
        <f t="shared" si="4"/>
        <v>-0.51999999999999957</v>
      </c>
    </row>
    <row r="32" spans="1:21" x14ac:dyDescent="0.2">
      <c r="A32" s="1" t="s">
        <v>41</v>
      </c>
      <c r="B32" s="1">
        <v>7</v>
      </c>
      <c r="C32" s="1" t="s">
        <v>44</v>
      </c>
      <c r="D32" s="1">
        <v>1</v>
      </c>
      <c r="E32" s="1">
        <v>47.886712159961398</v>
      </c>
      <c r="F32" s="1">
        <v>51.728576443157998</v>
      </c>
      <c r="G32" s="1">
        <v>8.7603115716204008E-2</v>
      </c>
      <c r="H32" s="1">
        <v>96.436404937505699</v>
      </c>
      <c r="I32" s="1">
        <v>29.7282040352001</v>
      </c>
      <c r="J32" s="1">
        <v>9.908614116720849E-5</v>
      </c>
      <c r="K32" s="1">
        <v>0.1283</v>
      </c>
      <c r="L32" s="1">
        <v>0.22309999999999999</v>
      </c>
      <c r="M32" s="1">
        <v>0.20710000000000001</v>
      </c>
      <c r="N32">
        <v>8.5599999999999996E-2</v>
      </c>
      <c r="O32">
        <v>8.4900000000000003E-2</v>
      </c>
      <c r="P32">
        <v>9.35E-2</v>
      </c>
      <c r="Q32">
        <v>9.0800000000000006E-2</v>
      </c>
      <c r="R32">
        <f t="shared" si="1"/>
        <v>-1.0000000000000286E-2</v>
      </c>
      <c r="S32">
        <f t="shared" si="2"/>
        <v>-7.9999999999999516E-2</v>
      </c>
      <c r="T32">
        <f t="shared" si="3"/>
        <v>0.78000000000000014</v>
      </c>
      <c r="U32">
        <f t="shared" si="4"/>
        <v>0.51000000000000068</v>
      </c>
    </row>
    <row r="33" spans="1:21" x14ac:dyDescent="0.2">
      <c r="A33" s="1" t="s">
        <v>41</v>
      </c>
      <c r="B33" s="1">
        <v>7</v>
      </c>
      <c r="C33" s="1" t="s">
        <v>45</v>
      </c>
      <c r="D33" s="1">
        <v>1</v>
      </c>
      <c r="E33" s="1">
        <v>47.886712159961398</v>
      </c>
      <c r="F33" s="1">
        <v>51.728576443157998</v>
      </c>
      <c r="G33" s="1">
        <v>8.7603115716204008E-2</v>
      </c>
      <c r="H33" s="1">
        <v>96.436404937505699</v>
      </c>
      <c r="I33" s="1">
        <v>29.7282040352001</v>
      </c>
      <c r="J33" s="1">
        <v>9.908614116720849E-5</v>
      </c>
      <c r="K33" s="1">
        <v>0.10920000000000001</v>
      </c>
      <c r="L33" s="1">
        <v>0.2757</v>
      </c>
      <c r="M33" s="1">
        <v>0.1701</v>
      </c>
      <c r="N33">
        <v>7.85E-2</v>
      </c>
      <c r="O33">
        <v>7.7299999999999994E-2</v>
      </c>
      <c r="P33">
        <v>9.9699999999999997E-2</v>
      </c>
      <c r="Q33">
        <v>8.2900000000000001E-2</v>
      </c>
      <c r="R33">
        <f t="shared" si="1"/>
        <v>-0.71999999999999975</v>
      </c>
      <c r="S33">
        <f t="shared" si="2"/>
        <v>-0.84000000000000041</v>
      </c>
      <c r="T33">
        <f t="shared" si="3"/>
        <v>1.4</v>
      </c>
      <c r="U33">
        <f t="shared" si="4"/>
        <v>-0.27999999999999969</v>
      </c>
    </row>
    <row r="34" spans="1:21" x14ac:dyDescent="0.2">
      <c r="A34" s="1" t="s">
        <v>46</v>
      </c>
      <c r="B34" s="1">
        <v>8</v>
      </c>
      <c r="C34" s="1" t="s">
        <v>47</v>
      </c>
      <c r="D34" s="1">
        <v>1</v>
      </c>
      <c r="E34" s="1">
        <v>6.5604620943777201</v>
      </c>
      <c r="F34" s="1">
        <v>65.836226830258894</v>
      </c>
      <c r="G34" s="1">
        <v>1.51952996576204E-2</v>
      </c>
      <c r="H34" s="1">
        <v>147.912989500165</v>
      </c>
      <c r="I34" s="1">
        <v>91.153196250088499</v>
      </c>
      <c r="J34" s="1">
        <v>1.6243262194562702E-3</v>
      </c>
      <c r="K34" s="1">
        <v>0.1211</v>
      </c>
      <c r="L34" s="1">
        <v>0.20130000000000001</v>
      </c>
      <c r="M34" s="1">
        <v>0.20449999999999999</v>
      </c>
      <c r="N34">
        <v>7.6600000000000001E-2</v>
      </c>
      <c r="O34">
        <v>8.1699999999999995E-2</v>
      </c>
      <c r="P34">
        <v>7.8200000000000006E-2</v>
      </c>
      <c r="Q34">
        <v>9.35E-2</v>
      </c>
      <c r="R34">
        <f t="shared" si="1"/>
        <v>-0.9099999999999997</v>
      </c>
      <c r="S34">
        <f t="shared" si="2"/>
        <v>-0.40000000000000036</v>
      </c>
      <c r="T34">
        <f t="shared" si="3"/>
        <v>-0.74999999999999922</v>
      </c>
      <c r="U34">
        <f t="shared" si="4"/>
        <v>0.78000000000000014</v>
      </c>
    </row>
    <row r="35" spans="1:21" x14ac:dyDescent="0.2">
      <c r="A35" s="1" t="s">
        <v>46</v>
      </c>
      <c r="B35" s="1">
        <v>8</v>
      </c>
      <c r="C35" s="1" t="s">
        <v>48</v>
      </c>
      <c r="D35" s="1">
        <v>1</v>
      </c>
      <c r="E35" s="1">
        <v>6.5604620943777201</v>
      </c>
      <c r="F35" s="1">
        <v>65.836226830258894</v>
      </c>
      <c r="G35" s="1">
        <v>1.51952996576204E-2</v>
      </c>
      <c r="H35" s="1">
        <v>147.912989500165</v>
      </c>
      <c r="I35" s="1">
        <v>91.153196250088499</v>
      </c>
      <c r="J35" s="1">
        <v>1.6243262194562702E-3</v>
      </c>
      <c r="K35" s="1">
        <v>0.1108</v>
      </c>
      <c r="L35" s="1">
        <v>0.2286</v>
      </c>
      <c r="M35" s="1">
        <v>0.13139999999999999</v>
      </c>
      <c r="N35">
        <v>7.8899999999999998E-2</v>
      </c>
      <c r="O35">
        <v>8.1900000000000001E-2</v>
      </c>
      <c r="P35">
        <v>7.8200000000000006E-2</v>
      </c>
      <c r="Q35">
        <v>9.1499999999999998E-2</v>
      </c>
      <c r="R35">
        <f t="shared" si="1"/>
        <v>-0.68</v>
      </c>
      <c r="S35">
        <f t="shared" si="2"/>
        <v>-0.37999999999999978</v>
      </c>
      <c r="T35">
        <f t="shared" si="3"/>
        <v>-0.74999999999999922</v>
      </c>
      <c r="U35">
        <f t="shared" si="4"/>
        <v>0.57999999999999996</v>
      </c>
    </row>
    <row r="36" spans="1:21" x14ac:dyDescent="0.2">
      <c r="A36" s="1" t="s">
        <v>46</v>
      </c>
      <c r="B36" s="1">
        <v>8</v>
      </c>
      <c r="C36" s="1" t="s">
        <v>49</v>
      </c>
      <c r="D36" s="1">
        <v>1</v>
      </c>
      <c r="E36" s="1">
        <v>6.5604620943777201</v>
      </c>
      <c r="F36" s="1">
        <v>65.836226830258894</v>
      </c>
      <c r="G36" s="1">
        <v>1.51952996576204E-2</v>
      </c>
      <c r="H36" s="1">
        <v>147.912989500165</v>
      </c>
      <c r="I36" s="1">
        <v>91.153196250088499</v>
      </c>
      <c r="J36" s="1">
        <v>1.6243262194562702E-3</v>
      </c>
      <c r="K36" s="1">
        <v>0.12559999999999999</v>
      </c>
      <c r="L36" s="1">
        <v>0.2089</v>
      </c>
      <c r="M36" s="1">
        <v>0.17249999999999999</v>
      </c>
      <c r="N36">
        <v>8.4500000000000006E-2</v>
      </c>
      <c r="O36">
        <v>8.4199999999999997E-2</v>
      </c>
      <c r="P36">
        <v>9.4100000000000003E-2</v>
      </c>
      <c r="Q36">
        <v>9.0300000000000005E-2</v>
      </c>
      <c r="R36">
        <f t="shared" si="1"/>
        <v>-0.11999999999999927</v>
      </c>
      <c r="S36">
        <f t="shared" si="2"/>
        <v>-0.15000000000000013</v>
      </c>
      <c r="T36">
        <f t="shared" si="3"/>
        <v>0.84000000000000041</v>
      </c>
      <c r="U36">
        <f t="shared" si="4"/>
        <v>0.46000000000000069</v>
      </c>
    </row>
    <row r="37" spans="1:21" x14ac:dyDescent="0.2">
      <c r="A37" s="1" t="s">
        <v>46</v>
      </c>
      <c r="B37" s="1">
        <v>8</v>
      </c>
      <c r="C37" s="1" t="s">
        <v>50</v>
      </c>
      <c r="D37" s="1">
        <v>1</v>
      </c>
      <c r="E37" s="1">
        <v>6.5604620943777201</v>
      </c>
      <c r="F37" s="1">
        <v>65.836226830258894</v>
      </c>
      <c r="G37" s="1">
        <v>1.51952996576204E-2</v>
      </c>
      <c r="H37" s="1">
        <v>147.912989500165</v>
      </c>
      <c r="I37" s="1">
        <v>91.153196250088499</v>
      </c>
      <c r="J37" s="1">
        <v>1.6243262194562702E-3</v>
      </c>
      <c r="K37" s="1">
        <v>0.1295</v>
      </c>
      <c r="L37" s="1">
        <v>0.17849999999999999</v>
      </c>
      <c r="M37" s="1">
        <v>0.15740000000000001</v>
      </c>
      <c r="N37">
        <v>9.3299999999999994E-2</v>
      </c>
      <c r="O37">
        <v>9.5399999999999999E-2</v>
      </c>
      <c r="P37">
        <v>8.5599999999999996E-2</v>
      </c>
      <c r="Q37">
        <v>8.6599999999999996E-2</v>
      </c>
      <c r="R37">
        <f t="shared" si="1"/>
        <v>0.75999999999999956</v>
      </c>
      <c r="S37">
        <f t="shared" si="2"/>
        <v>0.97</v>
      </c>
      <c r="T37">
        <f t="shared" si="3"/>
        <v>-1.0000000000000286E-2</v>
      </c>
      <c r="U37">
        <f t="shared" si="4"/>
        <v>8.9999999999999802E-2</v>
      </c>
    </row>
    <row r="38" spans="1:21" x14ac:dyDescent="0.2">
      <c r="A38" s="1" t="s">
        <v>51</v>
      </c>
      <c r="B38" s="1">
        <v>9</v>
      </c>
      <c r="C38" s="1" t="s">
        <v>52</v>
      </c>
      <c r="D38" s="1">
        <v>1</v>
      </c>
      <c r="E38" s="1">
        <v>4.7327455822378397</v>
      </c>
      <c r="F38" s="1">
        <v>30.623905996792001</v>
      </c>
      <c r="G38" s="1">
        <v>3.0192219642735999E-2</v>
      </c>
      <c r="H38" s="1">
        <v>130.58062548935399</v>
      </c>
      <c r="I38" s="1">
        <v>140.78715392388401</v>
      </c>
      <c r="J38" s="1">
        <v>3.6869418133050197E-3</v>
      </c>
      <c r="K38" s="1">
        <v>0.1507</v>
      </c>
      <c r="L38" s="1">
        <v>0.246</v>
      </c>
      <c r="M38" s="1">
        <v>0.27139999999999997</v>
      </c>
      <c r="N38">
        <v>8.6400000000000005E-2</v>
      </c>
      <c r="O38">
        <v>8.3599999999999994E-2</v>
      </c>
      <c r="P38">
        <v>8.09E-2</v>
      </c>
      <c r="Q38">
        <v>8.2400000000000001E-2</v>
      </c>
      <c r="R38">
        <f t="shared" si="1"/>
        <v>7.0000000000000617E-2</v>
      </c>
      <c r="S38">
        <f t="shared" si="2"/>
        <v>-0.21000000000000046</v>
      </c>
      <c r="T38">
        <f t="shared" si="3"/>
        <v>-0.47999999999999987</v>
      </c>
      <c r="U38">
        <f t="shared" si="4"/>
        <v>-0.32999999999999974</v>
      </c>
    </row>
    <row r="39" spans="1:21" x14ac:dyDescent="0.2">
      <c r="A39" s="1" t="s">
        <v>51</v>
      </c>
      <c r="B39" s="1">
        <v>9</v>
      </c>
      <c r="C39" s="1" t="s">
        <v>53</v>
      </c>
      <c r="D39" s="1">
        <v>1</v>
      </c>
      <c r="E39" s="1">
        <v>4.7327455822378397</v>
      </c>
      <c r="F39" s="1">
        <v>30.623905996792001</v>
      </c>
      <c r="G39" s="1">
        <v>3.0192219642735999E-2</v>
      </c>
      <c r="H39" s="1">
        <v>130.58062548935399</v>
      </c>
      <c r="I39" s="1">
        <v>140.78715392388401</v>
      </c>
      <c r="J39" s="1">
        <v>3.6869418133050197E-3</v>
      </c>
      <c r="K39" s="1">
        <v>0.1542</v>
      </c>
      <c r="L39" s="1">
        <v>0.2777</v>
      </c>
      <c r="M39" s="1">
        <v>0.252</v>
      </c>
      <c r="N39">
        <v>8.4699999999999998E-2</v>
      </c>
      <c r="O39">
        <v>8.8599999999999998E-2</v>
      </c>
      <c r="P39">
        <v>7.8899999999999998E-2</v>
      </c>
      <c r="Q39">
        <v>8.5400000000000004E-2</v>
      </c>
      <c r="R39">
        <f t="shared" si="1"/>
        <v>-0.10000000000000009</v>
      </c>
      <c r="S39">
        <f t="shared" si="2"/>
        <v>0.28999999999999998</v>
      </c>
      <c r="T39">
        <f t="shared" si="3"/>
        <v>-0.68</v>
      </c>
      <c r="U39">
        <f t="shared" si="4"/>
        <v>-2.9999999999999472E-2</v>
      </c>
    </row>
    <row r="40" spans="1:21" x14ac:dyDescent="0.2">
      <c r="A40" s="1" t="s">
        <v>51</v>
      </c>
      <c r="B40" s="1">
        <v>9</v>
      </c>
      <c r="C40" s="1" t="s">
        <v>54</v>
      </c>
      <c r="D40" s="1">
        <v>1</v>
      </c>
      <c r="E40" s="1">
        <v>4.7327455822378397</v>
      </c>
      <c r="F40" s="1">
        <v>30.623905996792001</v>
      </c>
      <c r="G40" s="1">
        <v>3.0192219642735999E-2</v>
      </c>
      <c r="H40" s="1">
        <v>130.58062548935399</v>
      </c>
      <c r="I40" s="1">
        <v>140.78715392388401</v>
      </c>
      <c r="J40" s="1">
        <v>3.6869418133050197E-3</v>
      </c>
      <c r="K40" s="1">
        <v>0.1608</v>
      </c>
      <c r="L40" s="1">
        <v>0.2737</v>
      </c>
      <c r="M40" s="1">
        <v>0.28339999999999999</v>
      </c>
      <c r="N40">
        <v>9.5000000000000001E-2</v>
      </c>
      <c r="O40">
        <v>9.9599999999999994E-2</v>
      </c>
      <c r="P40">
        <v>8.2299999999999998E-2</v>
      </c>
      <c r="Q40">
        <v>9.9599999999999994E-2</v>
      </c>
      <c r="R40">
        <f t="shared" si="1"/>
        <v>0.93000000000000027</v>
      </c>
      <c r="S40">
        <f t="shared" si="2"/>
        <v>1.3899999999999995</v>
      </c>
      <c r="T40">
        <f t="shared" si="3"/>
        <v>-0.34</v>
      </c>
      <c r="U40">
        <f t="shared" si="4"/>
        <v>1.3899999999999995</v>
      </c>
    </row>
    <row r="41" spans="1:21" x14ac:dyDescent="0.2">
      <c r="A41" s="1" t="s">
        <v>51</v>
      </c>
      <c r="B41" s="1">
        <v>9</v>
      </c>
      <c r="C41" s="1" t="s">
        <v>55</v>
      </c>
      <c r="D41" s="1">
        <v>1</v>
      </c>
      <c r="E41" s="1">
        <v>4.7327455822378397</v>
      </c>
      <c r="F41" s="1">
        <v>30.623905996792001</v>
      </c>
      <c r="G41" s="1">
        <v>3.0192219642735999E-2</v>
      </c>
      <c r="H41" s="1">
        <v>130.58062548935399</v>
      </c>
      <c r="I41" s="1">
        <v>140.78715392388401</v>
      </c>
      <c r="J41" s="1">
        <v>3.6869418133050197E-3</v>
      </c>
      <c r="K41" s="1">
        <v>0.16</v>
      </c>
      <c r="L41" s="1">
        <v>0.26900000000000002</v>
      </c>
      <c r="M41" s="1">
        <v>0.26629999999999998</v>
      </c>
      <c r="N41">
        <v>8.48E-2</v>
      </c>
      <c r="O41">
        <v>8.0799999999999997E-2</v>
      </c>
      <c r="P41">
        <v>8.4699999999999998E-2</v>
      </c>
      <c r="Q41">
        <v>8.6400000000000005E-2</v>
      </c>
      <c r="R41">
        <f t="shared" si="1"/>
        <v>-8.9999999999999802E-2</v>
      </c>
      <c r="S41">
        <f t="shared" si="2"/>
        <v>-0.49000000000000016</v>
      </c>
      <c r="T41">
        <f t="shared" si="3"/>
        <v>-0.10000000000000009</v>
      </c>
      <c r="U41">
        <f t="shared" si="4"/>
        <v>7.0000000000000617E-2</v>
      </c>
    </row>
    <row r="42" spans="1:21" x14ac:dyDescent="0.2">
      <c r="A42" s="1" t="s">
        <v>56</v>
      </c>
      <c r="B42" s="1">
        <v>10</v>
      </c>
      <c r="C42" s="1" t="s">
        <v>57</v>
      </c>
      <c r="D42" s="1">
        <v>1</v>
      </c>
      <c r="E42" s="1">
        <v>37.457540513016198</v>
      </c>
      <c r="F42" s="1">
        <v>51.851574426516798</v>
      </c>
      <c r="G42" s="1">
        <v>1.1810401223599899E-3</v>
      </c>
      <c r="H42" s="1">
        <v>7.6663969926536</v>
      </c>
      <c r="I42" s="1">
        <v>123.083210145123</v>
      </c>
      <c r="J42" s="1">
        <v>4.5165213983971598E-3</v>
      </c>
      <c r="K42" s="1">
        <v>0.14119999999999999</v>
      </c>
      <c r="L42" s="1">
        <v>0.12570000000000001</v>
      </c>
      <c r="M42" s="1">
        <v>0.47239999999999999</v>
      </c>
      <c r="N42">
        <v>5.6800000000000003E-2</v>
      </c>
      <c r="O42">
        <v>5.8999999999999997E-2</v>
      </c>
      <c r="P42">
        <v>0.1162</v>
      </c>
      <c r="Q42">
        <v>6.6900000000000001E-2</v>
      </c>
      <c r="R42">
        <f t="shared" si="1"/>
        <v>-2.8899999999999992</v>
      </c>
      <c r="S42">
        <f t="shared" si="2"/>
        <v>-2.67</v>
      </c>
      <c r="T42">
        <f t="shared" si="3"/>
        <v>3.05</v>
      </c>
      <c r="U42">
        <f t="shared" si="4"/>
        <v>-1.8799999999999997</v>
      </c>
    </row>
    <row r="43" spans="1:21" x14ac:dyDescent="0.2">
      <c r="A43" s="1" t="s">
        <v>56</v>
      </c>
      <c r="B43" s="1">
        <v>10</v>
      </c>
      <c r="C43" s="1" t="s">
        <v>58</v>
      </c>
      <c r="D43" s="1">
        <v>1</v>
      </c>
      <c r="E43" s="1">
        <v>37.457540513016198</v>
      </c>
      <c r="F43" s="1">
        <v>51.851574426516798</v>
      </c>
      <c r="G43" s="1">
        <v>1.1810401223599899E-3</v>
      </c>
      <c r="H43" s="1">
        <v>7.6663969926536</v>
      </c>
      <c r="I43" s="1">
        <v>123.083210145123</v>
      </c>
      <c r="J43" s="1">
        <v>4.5165213983971598E-3</v>
      </c>
      <c r="K43" s="1">
        <v>0.13389999999999999</v>
      </c>
      <c r="L43" s="1">
        <v>0.1842</v>
      </c>
      <c r="M43" s="1">
        <v>0.1857</v>
      </c>
      <c r="N43">
        <v>6.0999999999999999E-2</v>
      </c>
      <c r="O43">
        <v>5.67E-2</v>
      </c>
      <c r="P43">
        <v>8.6699999999999999E-2</v>
      </c>
      <c r="Q43">
        <v>7.4700000000000003E-2</v>
      </c>
      <c r="R43">
        <f t="shared" si="1"/>
        <v>-2.4699999999999998</v>
      </c>
      <c r="S43">
        <f t="shared" si="2"/>
        <v>-2.9</v>
      </c>
      <c r="T43">
        <f t="shared" si="3"/>
        <v>0.10000000000000009</v>
      </c>
      <c r="U43">
        <f t="shared" si="4"/>
        <v>-1.0999999999999996</v>
      </c>
    </row>
    <row r="44" spans="1:21" x14ac:dyDescent="0.2">
      <c r="A44" s="1" t="s">
        <v>56</v>
      </c>
      <c r="B44" s="1">
        <v>10</v>
      </c>
      <c r="C44" s="1" t="s">
        <v>59</v>
      </c>
      <c r="D44" s="1">
        <v>1</v>
      </c>
      <c r="E44" s="1">
        <v>37.457540513016198</v>
      </c>
      <c r="F44" s="1">
        <v>51.851574426516798</v>
      </c>
      <c r="G44" s="1">
        <v>1.1810401223599899E-3</v>
      </c>
      <c r="H44" s="1">
        <v>7.6663969926536</v>
      </c>
      <c r="I44" s="1">
        <v>123.083210145123</v>
      </c>
      <c r="J44" s="1">
        <v>4.5165213983971598E-3</v>
      </c>
      <c r="K44" s="1">
        <v>0.14510000000000001</v>
      </c>
      <c r="L44" s="1">
        <v>0.25369999999999998</v>
      </c>
      <c r="M44" s="1">
        <v>0.2863</v>
      </c>
      <c r="N44">
        <v>6.5699999999999995E-2</v>
      </c>
      <c r="O44">
        <v>6.2899999999999998E-2</v>
      </c>
      <c r="P44">
        <v>7.0599999999999996E-2</v>
      </c>
      <c r="Q44">
        <v>8.6199999999999999E-2</v>
      </c>
      <c r="R44">
        <f t="shared" si="1"/>
        <v>-2.0000000000000004</v>
      </c>
      <c r="S44">
        <f t="shared" si="2"/>
        <v>-2.2800000000000002</v>
      </c>
      <c r="T44">
        <f t="shared" si="3"/>
        <v>-1.5100000000000002</v>
      </c>
      <c r="U44">
        <f t="shared" si="4"/>
        <v>5.0000000000000044E-2</v>
      </c>
    </row>
    <row r="45" spans="1:21" x14ac:dyDescent="0.2">
      <c r="A45" s="1" t="s">
        <v>56</v>
      </c>
      <c r="B45" s="1">
        <v>10</v>
      </c>
      <c r="C45" s="1" t="s">
        <v>60</v>
      </c>
      <c r="D45" s="1">
        <v>1</v>
      </c>
      <c r="E45" s="1">
        <v>37.457540513016198</v>
      </c>
      <c r="F45" s="1">
        <v>51.851574426516798</v>
      </c>
      <c r="G45" s="1">
        <v>1.1810401223599899E-3</v>
      </c>
      <c r="H45" s="1">
        <v>7.6663969926536</v>
      </c>
      <c r="I45" s="1">
        <v>123.083210145123</v>
      </c>
      <c r="J45" s="1">
        <v>4.5165213983971598E-3</v>
      </c>
      <c r="K45" s="1">
        <v>0.15260000000000001</v>
      </c>
      <c r="L45" s="1">
        <v>0.1903</v>
      </c>
      <c r="M45" s="1">
        <v>0.65149999999999997</v>
      </c>
      <c r="N45">
        <v>7.4800000000000005E-2</v>
      </c>
      <c r="O45">
        <v>6.9800000000000001E-2</v>
      </c>
      <c r="P45">
        <v>9.6000000000000002E-2</v>
      </c>
      <c r="Q45">
        <v>7.1099999999999997E-2</v>
      </c>
      <c r="R45">
        <f t="shared" si="1"/>
        <v>-1.0899999999999992</v>
      </c>
      <c r="S45">
        <f t="shared" si="2"/>
        <v>-1.5899999999999996</v>
      </c>
      <c r="T45">
        <f t="shared" si="3"/>
        <v>1.0300000000000002</v>
      </c>
      <c r="U45">
        <f t="shared" si="4"/>
        <v>-1.4600000000000002</v>
      </c>
    </row>
    <row r="46" spans="1:21" x14ac:dyDescent="0.2">
      <c r="A46" s="1" t="s">
        <v>61</v>
      </c>
      <c r="B46" s="1">
        <v>11</v>
      </c>
      <c r="C46" s="1" t="s">
        <v>62</v>
      </c>
      <c r="D46" s="1">
        <v>1</v>
      </c>
      <c r="E46" s="1">
        <v>27.1271541463211</v>
      </c>
      <c r="F46" s="1">
        <v>78.244181196205304</v>
      </c>
      <c r="G46" s="1">
        <v>2.8279020439274601E-2</v>
      </c>
      <c r="H46" s="1">
        <v>73.379333168268204</v>
      </c>
      <c r="I46" s="1">
        <v>135.519754537381</v>
      </c>
      <c r="J46" s="1">
        <v>2.7565309631172501E-3</v>
      </c>
      <c r="K46" s="1">
        <v>0.13669999999999999</v>
      </c>
      <c r="L46" s="1">
        <v>0.26079999999999998</v>
      </c>
      <c r="M46" s="1">
        <v>0.22170000000000001</v>
      </c>
      <c r="N46">
        <v>7.5800000000000006E-2</v>
      </c>
      <c r="O46">
        <v>8.14E-2</v>
      </c>
      <c r="P46">
        <v>0.1489</v>
      </c>
      <c r="Q46">
        <v>7.22E-2</v>
      </c>
      <c r="R46">
        <f t="shared" si="1"/>
        <v>-0.98999999999999921</v>
      </c>
      <c r="S46">
        <f t="shared" si="2"/>
        <v>-0.42999999999999983</v>
      </c>
      <c r="T46">
        <f t="shared" si="3"/>
        <v>6.32</v>
      </c>
      <c r="U46">
        <f t="shared" si="4"/>
        <v>-1.3499999999999999</v>
      </c>
    </row>
    <row r="47" spans="1:21" x14ac:dyDescent="0.2">
      <c r="A47" s="1" t="s">
        <v>61</v>
      </c>
      <c r="B47" s="1">
        <v>11</v>
      </c>
      <c r="C47" s="1" t="s">
        <v>63</v>
      </c>
      <c r="D47" s="1">
        <v>1</v>
      </c>
      <c r="E47" s="1">
        <v>27.1271541463211</v>
      </c>
      <c r="F47" s="1">
        <v>78.244181196205304</v>
      </c>
      <c r="G47" s="1">
        <v>2.8279020439274601E-2</v>
      </c>
      <c r="H47" s="1">
        <v>73.379333168268204</v>
      </c>
      <c r="I47" s="1">
        <v>135.519754537381</v>
      </c>
      <c r="J47" s="1">
        <v>2.7565309631172501E-3</v>
      </c>
      <c r="K47" s="1">
        <v>0.11890000000000001</v>
      </c>
      <c r="L47" s="1">
        <v>0.23849999999999999</v>
      </c>
      <c r="M47" s="1">
        <v>0.193</v>
      </c>
      <c r="N47">
        <v>7.9399999999999998E-2</v>
      </c>
      <c r="O47">
        <v>8.0500000000000002E-2</v>
      </c>
      <c r="P47">
        <v>9.1499999999999998E-2</v>
      </c>
      <c r="Q47">
        <v>8.4400000000000003E-2</v>
      </c>
      <c r="R47">
        <f t="shared" si="1"/>
        <v>-0.63</v>
      </c>
      <c r="S47">
        <f t="shared" si="2"/>
        <v>-0.51999999999999957</v>
      </c>
      <c r="T47">
        <f t="shared" si="3"/>
        <v>0.57999999999999996</v>
      </c>
      <c r="U47">
        <f t="shared" si="4"/>
        <v>-0.12999999999999956</v>
      </c>
    </row>
    <row r="48" spans="1:21" x14ac:dyDescent="0.2">
      <c r="A48" s="1" t="s">
        <v>61</v>
      </c>
      <c r="B48" s="1">
        <v>11</v>
      </c>
      <c r="C48" s="1" t="s">
        <v>64</v>
      </c>
      <c r="D48" s="1">
        <v>1</v>
      </c>
      <c r="E48" s="1">
        <v>27.1271541463211</v>
      </c>
      <c r="F48" s="1">
        <v>78.244181196205304</v>
      </c>
      <c r="G48" s="1">
        <v>2.8279020439274601E-2</v>
      </c>
      <c r="H48" s="1">
        <v>73.379333168268204</v>
      </c>
      <c r="I48" s="1">
        <v>135.519754537381</v>
      </c>
      <c r="J48" s="1">
        <v>2.7565309631172501E-3</v>
      </c>
      <c r="K48" s="1">
        <v>0.12570000000000001</v>
      </c>
      <c r="L48" s="1">
        <v>0.2475</v>
      </c>
      <c r="M48" s="1">
        <v>0.22070000000000001</v>
      </c>
      <c r="N48">
        <v>8.5699999999999998E-2</v>
      </c>
      <c r="O48">
        <v>8.1299999999999997E-2</v>
      </c>
      <c r="P48">
        <v>9.0499999999999997E-2</v>
      </c>
      <c r="Q48">
        <v>8.8400000000000006E-2</v>
      </c>
      <c r="R48">
        <f t="shared" si="1"/>
        <v>0</v>
      </c>
      <c r="S48">
        <f t="shared" si="2"/>
        <v>-0.44000000000000011</v>
      </c>
      <c r="T48">
        <f t="shared" si="3"/>
        <v>0.47999999999999987</v>
      </c>
      <c r="U48">
        <f t="shared" si="4"/>
        <v>0.27000000000000079</v>
      </c>
    </row>
    <row r="49" spans="1:21" x14ac:dyDescent="0.2">
      <c r="A49" s="1" t="s">
        <v>61</v>
      </c>
      <c r="B49" s="1">
        <v>11</v>
      </c>
      <c r="C49" s="1" t="s">
        <v>65</v>
      </c>
      <c r="D49" s="1">
        <v>1</v>
      </c>
      <c r="E49" s="1">
        <v>27.1271541463211</v>
      </c>
      <c r="F49" s="1">
        <v>78.244181196205304</v>
      </c>
      <c r="G49" s="1">
        <v>2.8279020439274601E-2</v>
      </c>
      <c r="H49" s="1">
        <v>73.379333168268204</v>
      </c>
      <c r="I49" s="1">
        <v>135.519754537381</v>
      </c>
      <c r="J49" s="1">
        <v>2.7565309631172501E-3</v>
      </c>
      <c r="K49" s="1">
        <v>0.12759999999999999</v>
      </c>
      <c r="L49" s="1">
        <v>0.24210000000000001</v>
      </c>
      <c r="M49" s="1">
        <v>0.21579999999999999</v>
      </c>
      <c r="N49">
        <v>7.7600000000000002E-2</v>
      </c>
      <c r="O49">
        <v>7.4399999999999994E-2</v>
      </c>
      <c r="P49">
        <v>9.1899999999999996E-2</v>
      </c>
      <c r="Q49">
        <v>7.8E-2</v>
      </c>
      <c r="R49">
        <f t="shared" si="1"/>
        <v>-0.80999999999999961</v>
      </c>
      <c r="S49">
        <f t="shared" si="2"/>
        <v>-1.1300000000000003</v>
      </c>
      <c r="T49">
        <f t="shared" si="3"/>
        <v>0.61999999999999966</v>
      </c>
      <c r="U49">
        <f t="shared" si="4"/>
        <v>-0.7699999999999998</v>
      </c>
    </row>
    <row r="50" spans="1:21" x14ac:dyDescent="0.2">
      <c r="A50" s="1" t="s">
        <v>66</v>
      </c>
      <c r="B50" s="1">
        <v>12</v>
      </c>
      <c r="C50" s="1" t="s">
        <v>67</v>
      </c>
      <c r="D50" s="1">
        <v>1</v>
      </c>
      <c r="E50" s="1">
        <v>40.977288659196297</v>
      </c>
      <c r="F50" s="1">
        <v>26.279411775059899</v>
      </c>
      <c r="G50" s="1">
        <v>9.8893191308528097E-2</v>
      </c>
      <c r="H50" s="1">
        <v>28.858559004217302</v>
      </c>
      <c r="I50" s="1">
        <v>57.7835241006687</v>
      </c>
      <c r="J50" s="1">
        <v>3.1828262456692696E-4</v>
      </c>
      <c r="K50" s="1">
        <v>0.66900000000000004</v>
      </c>
      <c r="L50" s="1">
        <v>0.36940000000000001</v>
      </c>
      <c r="M50" s="1">
        <v>0.55430000000000001</v>
      </c>
      <c r="N50">
        <v>5.8999999999999997E-2</v>
      </c>
      <c r="O50">
        <v>5.9900000000000002E-2</v>
      </c>
      <c r="P50">
        <v>6.4399999999999999E-2</v>
      </c>
      <c r="Q50">
        <v>6.1600000000000002E-2</v>
      </c>
      <c r="R50">
        <f t="shared" si="1"/>
        <v>-2.67</v>
      </c>
      <c r="S50">
        <f t="shared" si="2"/>
        <v>-2.5799999999999996</v>
      </c>
      <c r="T50">
        <f t="shared" si="3"/>
        <v>-2.13</v>
      </c>
      <c r="U50">
        <f t="shared" si="4"/>
        <v>-2.4099999999999997</v>
      </c>
    </row>
    <row r="51" spans="1:21" x14ac:dyDescent="0.2">
      <c r="A51" s="1" t="s">
        <v>66</v>
      </c>
      <c r="B51" s="1">
        <v>12</v>
      </c>
      <c r="C51" s="1" t="s">
        <v>68</v>
      </c>
      <c r="D51" s="1">
        <v>1</v>
      </c>
      <c r="E51" s="1">
        <v>40.977288659196297</v>
      </c>
      <c r="F51" s="1">
        <v>26.279411775059899</v>
      </c>
      <c r="G51" s="1">
        <v>9.8893191308528097E-2</v>
      </c>
      <c r="H51" s="1">
        <v>28.858559004217302</v>
      </c>
      <c r="I51" s="1">
        <v>57.7835241006687</v>
      </c>
      <c r="J51" s="1">
        <v>3.1828262456692696E-4</v>
      </c>
      <c r="K51" s="1">
        <v>0.1983</v>
      </c>
      <c r="L51" s="1">
        <v>0.4481</v>
      </c>
      <c r="M51" s="1">
        <v>0.2006</v>
      </c>
      <c r="N51">
        <v>6.3600000000000004E-2</v>
      </c>
      <c r="O51">
        <v>6.2100000000000002E-2</v>
      </c>
      <c r="P51">
        <v>6.8599999999999994E-2</v>
      </c>
      <c r="Q51">
        <v>7.1300000000000002E-2</v>
      </c>
      <c r="R51">
        <f t="shared" si="1"/>
        <v>-2.2099999999999995</v>
      </c>
      <c r="S51">
        <f t="shared" si="2"/>
        <v>-2.3599999999999994</v>
      </c>
      <c r="T51">
        <f t="shared" si="3"/>
        <v>-1.7100000000000004</v>
      </c>
      <c r="U51">
        <f t="shared" si="4"/>
        <v>-1.4399999999999995</v>
      </c>
    </row>
    <row r="52" spans="1:21" x14ac:dyDescent="0.2">
      <c r="A52" s="1" t="s">
        <v>66</v>
      </c>
      <c r="B52" s="1">
        <v>12</v>
      </c>
      <c r="C52" s="1" t="s">
        <v>69</v>
      </c>
      <c r="D52" s="1">
        <v>1</v>
      </c>
      <c r="E52" s="1">
        <v>40.977288659196297</v>
      </c>
      <c r="F52" s="1">
        <v>26.279411775059899</v>
      </c>
      <c r="G52" s="1">
        <v>9.8893191308528097E-2</v>
      </c>
      <c r="H52" s="1">
        <v>28.858559004217302</v>
      </c>
      <c r="I52" s="1">
        <v>57.7835241006687</v>
      </c>
      <c r="J52" s="1">
        <v>3.1828262456692696E-4</v>
      </c>
      <c r="K52" s="1">
        <v>0.23050000000000001</v>
      </c>
      <c r="L52" s="1">
        <v>0.41189999999999999</v>
      </c>
      <c r="M52" s="1">
        <v>0.4718</v>
      </c>
      <c r="N52">
        <v>6.6799999999999998E-2</v>
      </c>
      <c r="O52">
        <v>6.5500000000000003E-2</v>
      </c>
      <c r="P52">
        <v>8.3400000000000002E-2</v>
      </c>
      <c r="Q52">
        <v>6.4500000000000002E-2</v>
      </c>
      <c r="R52">
        <f t="shared" si="1"/>
        <v>-1.89</v>
      </c>
      <c r="S52">
        <f t="shared" si="2"/>
        <v>-2.0199999999999996</v>
      </c>
      <c r="T52">
        <f t="shared" si="3"/>
        <v>-0.22999999999999965</v>
      </c>
      <c r="U52">
        <f t="shared" si="4"/>
        <v>-2.1199999999999997</v>
      </c>
    </row>
    <row r="53" spans="1:21" x14ac:dyDescent="0.2">
      <c r="A53" s="1" t="s">
        <v>66</v>
      </c>
      <c r="B53" s="1">
        <v>12</v>
      </c>
      <c r="C53" s="1" t="s">
        <v>70</v>
      </c>
      <c r="D53" s="1">
        <v>1</v>
      </c>
      <c r="E53" s="1">
        <v>40.977288659196297</v>
      </c>
      <c r="F53" s="1">
        <v>26.279411775059899</v>
      </c>
      <c r="G53" s="1">
        <v>9.8893191308528097E-2</v>
      </c>
      <c r="H53" s="1">
        <v>28.858559004217302</v>
      </c>
      <c r="I53" s="1">
        <v>57.7835241006687</v>
      </c>
      <c r="J53" s="1">
        <v>3.1828262456692696E-4</v>
      </c>
      <c r="K53" s="1">
        <v>0.22950000000000001</v>
      </c>
      <c r="L53" s="1">
        <v>0.70389999999999997</v>
      </c>
      <c r="M53" s="1">
        <v>0.51619999999999999</v>
      </c>
      <c r="N53">
        <v>7.1599999999999997E-2</v>
      </c>
      <c r="O53">
        <v>7.3300000000000004E-2</v>
      </c>
      <c r="P53">
        <v>7.1300000000000002E-2</v>
      </c>
      <c r="Q53">
        <v>6.7500000000000004E-2</v>
      </c>
      <c r="R53">
        <f t="shared" si="1"/>
        <v>-1.4100000000000001</v>
      </c>
      <c r="S53">
        <f t="shared" si="2"/>
        <v>-1.2399999999999993</v>
      </c>
      <c r="T53">
        <f t="shared" si="3"/>
        <v>-1.4399999999999995</v>
      </c>
      <c r="U53">
        <f t="shared" si="4"/>
        <v>-1.8199999999999994</v>
      </c>
    </row>
    <row r="54" spans="1:21" x14ac:dyDescent="0.2">
      <c r="A54" s="1" t="s">
        <v>71</v>
      </c>
      <c r="B54" s="1">
        <v>13</v>
      </c>
      <c r="C54" s="1" t="s">
        <v>72</v>
      </c>
      <c r="D54" s="1">
        <v>1</v>
      </c>
      <c r="E54" s="1">
        <v>37.673699150793198</v>
      </c>
      <c r="F54" s="1">
        <v>6.14046378619968</v>
      </c>
      <c r="G54" s="1">
        <v>7.7140842418372602E-2</v>
      </c>
      <c r="H54" s="1">
        <v>69.828794682770905</v>
      </c>
      <c r="I54" s="1">
        <v>28.773803408257599</v>
      </c>
      <c r="J54" s="1">
        <v>4.9186664988752401E-3</v>
      </c>
      <c r="K54" s="1">
        <v>0.17660000000000001</v>
      </c>
      <c r="L54" s="1">
        <v>0.50649999999999995</v>
      </c>
      <c r="M54" s="1">
        <v>0.30309999999999998</v>
      </c>
      <c r="N54">
        <v>7.4399999999999994E-2</v>
      </c>
      <c r="O54">
        <v>9.9699999999999997E-2</v>
      </c>
      <c r="P54">
        <v>7.7299999999999994E-2</v>
      </c>
      <c r="Q54">
        <v>8.8900000000000007E-2</v>
      </c>
      <c r="R54">
        <f t="shared" si="1"/>
        <v>-1.1300000000000003</v>
      </c>
      <c r="S54">
        <f t="shared" si="2"/>
        <v>1.4</v>
      </c>
      <c r="T54">
        <f t="shared" si="3"/>
        <v>-0.84000000000000041</v>
      </c>
      <c r="U54">
        <f t="shared" si="4"/>
        <v>0.32000000000000084</v>
      </c>
    </row>
    <row r="55" spans="1:21" x14ac:dyDescent="0.2">
      <c r="A55" s="1" t="s">
        <v>71</v>
      </c>
      <c r="B55" s="1">
        <v>13</v>
      </c>
      <c r="C55" s="1" t="s">
        <v>73</v>
      </c>
      <c r="D55" s="1">
        <v>1</v>
      </c>
      <c r="E55" s="1">
        <v>37.673699150793198</v>
      </c>
      <c r="F55" s="1">
        <v>6.14046378619968</v>
      </c>
      <c r="G55" s="1">
        <v>7.7140842418372602E-2</v>
      </c>
      <c r="H55" s="1">
        <v>69.828794682770905</v>
      </c>
      <c r="I55" s="1">
        <v>28.773803408257599</v>
      </c>
      <c r="J55" s="1">
        <v>4.9186664988752401E-3</v>
      </c>
      <c r="K55" s="1">
        <v>0.24729999999999999</v>
      </c>
      <c r="L55" s="1">
        <v>0.50139999999999996</v>
      </c>
      <c r="M55" s="1">
        <v>0.31169999999999998</v>
      </c>
      <c r="N55">
        <v>8.1100000000000005E-2</v>
      </c>
      <c r="O55">
        <v>0.17449999999999999</v>
      </c>
      <c r="P55">
        <v>8.2900000000000001E-2</v>
      </c>
      <c r="Q55">
        <v>7.3700000000000002E-2</v>
      </c>
      <c r="R55">
        <f t="shared" si="1"/>
        <v>-0.4599999999999993</v>
      </c>
      <c r="S55">
        <f t="shared" si="2"/>
        <v>8.879999999999999</v>
      </c>
      <c r="T55">
        <f t="shared" si="3"/>
        <v>-0.27999999999999969</v>
      </c>
      <c r="U55">
        <f t="shared" si="4"/>
        <v>-1.1999999999999997</v>
      </c>
    </row>
    <row r="56" spans="1:21" x14ac:dyDescent="0.2">
      <c r="A56" s="1" t="s">
        <v>71</v>
      </c>
      <c r="B56" s="1">
        <v>13</v>
      </c>
      <c r="C56" s="1" t="s">
        <v>74</v>
      </c>
      <c r="D56" s="1">
        <v>1</v>
      </c>
      <c r="E56" s="1">
        <v>37.673699150793198</v>
      </c>
      <c r="F56" s="1">
        <v>6.14046378619968</v>
      </c>
      <c r="G56" s="1">
        <v>7.7140842418372602E-2</v>
      </c>
      <c r="H56" s="1">
        <v>69.828794682770905</v>
      </c>
      <c r="I56" s="1">
        <v>28.773803408257599</v>
      </c>
      <c r="J56" s="1">
        <v>4.9186664988752401E-3</v>
      </c>
      <c r="K56" s="1">
        <v>0.1961</v>
      </c>
      <c r="L56" s="1">
        <v>0.4471</v>
      </c>
      <c r="M56" s="1">
        <v>0.25469999999999998</v>
      </c>
      <c r="N56">
        <v>8.14E-2</v>
      </c>
      <c r="O56">
        <v>8.3900000000000002E-2</v>
      </c>
      <c r="P56">
        <v>9.2399999999999996E-2</v>
      </c>
      <c r="Q56">
        <v>8.6699999999999999E-2</v>
      </c>
      <c r="R56">
        <f t="shared" si="1"/>
        <v>-0.42999999999999983</v>
      </c>
      <c r="S56">
        <f t="shared" si="2"/>
        <v>-0.1799999999999996</v>
      </c>
      <c r="T56">
        <f t="shared" si="3"/>
        <v>0.66999999999999971</v>
      </c>
      <c r="U56">
        <f t="shared" si="4"/>
        <v>0.10000000000000009</v>
      </c>
    </row>
    <row r="57" spans="1:21" x14ac:dyDescent="0.2">
      <c r="A57" s="1" t="s">
        <v>71</v>
      </c>
      <c r="B57" s="1">
        <v>13</v>
      </c>
      <c r="C57" s="1" t="s">
        <v>75</v>
      </c>
      <c r="D57" s="1">
        <v>1</v>
      </c>
      <c r="E57" s="1">
        <v>37.673699150793198</v>
      </c>
      <c r="F57" s="1">
        <v>6.14046378619968</v>
      </c>
      <c r="G57" s="1">
        <v>7.7140842418372602E-2</v>
      </c>
      <c r="H57" s="1">
        <v>69.828794682770905</v>
      </c>
      <c r="I57" s="1">
        <v>28.773803408257599</v>
      </c>
      <c r="J57" s="1">
        <v>4.9186664988752401E-3</v>
      </c>
      <c r="K57" s="1">
        <v>0.25540000000000002</v>
      </c>
      <c r="L57" s="1">
        <v>0.47639999999999999</v>
      </c>
      <c r="M57" s="1">
        <v>0.2883</v>
      </c>
      <c r="N57">
        <v>7.4200000000000002E-2</v>
      </c>
      <c r="O57">
        <v>7.4399999999999994E-2</v>
      </c>
      <c r="P57">
        <v>8.9200000000000002E-2</v>
      </c>
      <c r="Q57">
        <v>7.2900000000000006E-2</v>
      </c>
      <c r="R57">
        <f t="shared" si="1"/>
        <v>-1.1499999999999997</v>
      </c>
      <c r="S57">
        <f t="shared" si="2"/>
        <v>-1.1300000000000003</v>
      </c>
      <c r="T57">
        <f t="shared" si="3"/>
        <v>0.35000000000000031</v>
      </c>
      <c r="U57">
        <f t="shared" si="4"/>
        <v>-1.2799999999999991</v>
      </c>
    </row>
    <row r="58" spans="1:21" x14ac:dyDescent="0.2">
      <c r="A58" s="1" t="s">
        <v>76</v>
      </c>
      <c r="B58" s="1">
        <v>14</v>
      </c>
      <c r="C58" s="1" t="s">
        <v>77</v>
      </c>
      <c r="D58" s="1">
        <v>1</v>
      </c>
      <c r="E58" s="1">
        <v>10.563694240525299</v>
      </c>
      <c r="F58" s="1">
        <v>35.510091682895997</v>
      </c>
      <c r="G58" s="1">
        <v>1.4023234792798701E-2</v>
      </c>
      <c r="H58" s="1">
        <v>108.38631501868301</v>
      </c>
      <c r="I58" s="1">
        <v>17.053102296776999</v>
      </c>
      <c r="J58" s="1">
        <v>3.4548013789579201E-3</v>
      </c>
      <c r="K58" s="1">
        <v>0.14910000000000001</v>
      </c>
      <c r="L58" s="1">
        <v>0.2495</v>
      </c>
      <c r="M58" s="1">
        <v>0.3085</v>
      </c>
      <c r="N58">
        <v>7.3499999999999996E-2</v>
      </c>
      <c r="O58">
        <v>7.1900000000000006E-2</v>
      </c>
      <c r="P58">
        <v>7.8700000000000006E-2</v>
      </c>
      <c r="Q58">
        <v>8.6099999999999996E-2</v>
      </c>
      <c r="R58">
        <f t="shared" si="1"/>
        <v>-1.2200000000000002</v>
      </c>
      <c r="S58">
        <f t="shared" si="2"/>
        <v>-1.3799999999999992</v>
      </c>
      <c r="T58">
        <f t="shared" si="3"/>
        <v>-0.69999999999999918</v>
      </c>
      <c r="U58">
        <f t="shared" si="4"/>
        <v>3.9999999999999758E-2</v>
      </c>
    </row>
    <row r="59" spans="1:21" x14ac:dyDescent="0.2">
      <c r="A59" s="1" t="s">
        <v>76</v>
      </c>
      <c r="B59" s="1">
        <v>14</v>
      </c>
      <c r="C59" s="1" t="s">
        <v>78</v>
      </c>
      <c r="D59" s="1">
        <v>1</v>
      </c>
      <c r="E59" s="1">
        <v>10.563694240525299</v>
      </c>
      <c r="F59" s="1">
        <v>35.510091682895997</v>
      </c>
      <c r="G59" s="1">
        <v>1.4023234792798701E-2</v>
      </c>
      <c r="H59" s="1">
        <v>108.38631501868301</v>
      </c>
      <c r="I59" s="1">
        <v>17.053102296776999</v>
      </c>
      <c r="J59" s="1">
        <v>3.4548013789579201E-3</v>
      </c>
      <c r="K59" s="1">
        <v>0.14580000000000001</v>
      </c>
      <c r="L59" s="1">
        <v>0.27089999999999997</v>
      </c>
      <c r="M59" s="1">
        <v>0.39679999999999999</v>
      </c>
      <c r="N59">
        <v>7.2800000000000004E-2</v>
      </c>
      <c r="O59">
        <v>7.3400000000000007E-2</v>
      </c>
      <c r="P59">
        <v>7.9299999999999995E-2</v>
      </c>
      <c r="Q59">
        <v>0.105</v>
      </c>
      <c r="R59">
        <f t="shared" si="1"/>
        <v>-1.2899999999999994</v>
      </c>
      <c r="S59">
        <f t="shared" si="2"/>
        <v>-1.2299999999999991</v>
      </c>
      <c r="T59">
        <f t="shared" si="3"/>
        <v>-0.64000000000000024</v>
      </c>
      <c r="U59">
        <f t="shared" si="4"/>
        <v>1.9299999999999997</v>
      </c>
    </row>
    <row r="60" spans="1:21" x14ac:dyDescent="0.2">
      <c r="A60" s="1" t="s">
        <v>76</v>
      </c>
      <c r="B60" s="1">
        <v>14</v>
      </c>
      <c r="C60" s="1" t="s">
        <v>79</v>
      </c>
      <c r="D60" s="1">
        <v>1</v>
      </c>
      <c r="E60" s="1">
        <v>10.563694240525299</v>
      </c>
      <c r="F60" s="1">
        <v>35.510091682895997</v>
      </c>
      <c r="G60" s="1">
        <v>1.4023234792798701E-2</v>
      </c>
      <c r="H60" s="1">
        <v>108.38631501868301</v>
      </c>
      <c r="I60" s="1">
        <v>17.053102296776999</v>
      </c>
      <c r="J60" s="1">
        <v>3.4548013789579201E-3</v>
      </c>
      <c r="K60" s="1">
        <v>0.15310000000000001</v>
      </c>
      <c r="L60" s="1">
        <v>0.55820000000000003</v>
      </c>
      <c r="M60" s="1">
        <v>0.34899999999999998</v>
      </c>
      <c r="N60">
        <v>8.1799999999999998E-2</v>
      </c>
      <c r="O60">
        <v>8.4000000000000005E-2</v>
      </c>
      <c r="P60">
        <v>7.8399999999999997E-2</v>
      </c>
      <c r="Q60">
        <v>9.1899999999999996E-2</v>
      </c>
      <c r="R60">
        <f t="shared" si="1"/>
        <v>-0.39000000000000007</v>
      </c>
      <c r="S60">
        <f t="shared" si="2"/>
        <v>-0.16999999999999932</v>
      </c>
      <c r="T60">
        <f t="shared" si="3"/>
        <v>-0.73000000000000009</v>
      </c>
      <c r="U60">
        <f t="shared" si="4"/>
        <v>0.61999999999999966</v>
      </c>
    </row>
    <row r="61" spans="1:21" x14ac:dyDescent="0.2">
      <c r="A61" s="1" t="s">
        <v>76</v>
      </c>
      <c r="B61" s="1">
        <v>14</v>
      </c>
      <c r="C61" s="1" t="s">
        <v>80</v>
      </c>
      <c r="D61" s="1">
        <v>1</v>
      </c>
      <c r="E61" s="1">
        <v>10.563694240525299</v>
      </c>
      <c r="F61" s="1">
        <v>35.510091682895997</v>
      </c>
      <c r="G61" s="1">
        <v>1.4023234792798701E-2</v>
      </c>
      <c r="H61" s="1">
        <v>108.38631501868301</v>
      </c>
      <c r="I61" s="1">
        <v>17.053102296776999</v>
      </c>
      <c r="J61" s="1">
        <v>3.4548013789579201E-3</v>
      </c>
      <c r="K61" s="1">
        <v>0.14510000000000001</v>
      </c>
      <c r="L61" s="1">
        <v>0.41460000000000002</v>
      </c>
      <c r="M61" s="1">
        <v>0.38679999999999998</v>
      </c>
      <c r="N61">
        <v>8.7800000000000003E-2</v>
      </c>
      <c r="O61">
        <v>8.5400000000000004E-2</v>
      </c>
      <c r="P61">
        <v>8.8499999999999995E-2</v>
      </c>
      <c r="Q61">
        <v>9.1300000000000006E-2</v>
      </c>
      <c r="R61">
        <f t="shared" si="1"/>
        <v>0.21000000000000046</v>
      </c>
      <c r="S61">
        <f t="shared" si="2"/>
        <v>-2.9999999999999472E-2</v>
      </c>
      <c r="T61">
        <f t="shared" si="3"/>
        <v>0.27999999999999969</v>
      </c>
      <c r="U61">
        <f t="shared" si="4"/>
        <v>0.56000000000000072</v>
      </c>
    </row>
    <row r="62" spans="1:21" x14ac:dyDescent="0.2">
      <c r="A62" s="1" t="s">
        <v>81</v>
      </c>
      <c r="B62" s="1">
        <v>15</v>
      </c>
      <c r="C62" s="1" t="s">
        <v>82</v>
      </c>
      <c r="D62" s="1">
        <v>1</v>
      </c>
      <c r="E62" s="1">
        <v>6.0609514052048299</v>
      </c>
      <c r="F62" s="1">
        <v>9.8123437054455191</v>
      </c>
      <c r="G62" s="1">
        <v>9.1711681522428905E-4</v>
      </c>
      <c r="H62" s="1">
        <v>18.654741311073298</v>
      </c>
      <c r="I62" s="1">
        <v>29.277416020631701</v>
      </c>
      <c r="J62" s="1">
        <v>1.18357616383582E-4</v>
      </c>
      <c r="K62" s="1">
        <v>0.22450000000000001</v>
      </c>
      <c r="L62" s="1">
        <v>0.58220000000000005</v>
      </c>
      <c r="M62" s="1">
        <v>0.43330000000000002</v>
      </c>
      <c r="N62">
        <v>7.1400000000000005E-2</v>
      </c>
      <c r="O62">
        <v>6.3600000000000004E-2</v>
      </c>
      <c r="P62">
        <v>6.6699999999999995E-2</v>
      </c>
      <c r="Q62">
        <v>8.1799999999999998E-2</v>
      </c>
      <c r="R62">
        <f t="shared" si="1"/>
        <v>-1.4299999999999993</v>
      </c>
      <c r="S62">
        <f t="shared" si="2"/>
        <v>-2.2099999999999995</v>
      </c>
      <c r="T62">
        <f t="shared" si="3"/>
        <v>-1.9000000000000004</v>
      </c>
      <c r="U62">
        <f t="shared" si="4"/>
        <v>-0.39000000000000007</v>
      </c>
    </row>
    <row r="63" spans="1:21" x14ac:dyDescent="0.2">
      <c r="A63" s="1" t="s">
        <v>81</v>
      </c>
      <c r="B63" s="1">
        <v>15</v>
      </c>
      <c r="C63" s="1" t="s">
        <v>83</v>
      </c>
      <c r="D63" s="1">
        <v>1</v>
      </c>
      <c r="E63" s="1">
        <v>6.0609514052048299</v>
      </c>
      <c r="F63" s="1">
        <v>9.8123437054455191</v>
      </c>
      <c r="G63" s="1">
        <v>9.1711681522428905E-4</v>
      </c>
      <c r="H63" s="1">
        <v>18.654741311073298</v>
      </c>
      <c r="I63" s="1">
        <v>29.277416020631701</v>
      </c>
      <c r="J63" s="1">
        <v>1.18357616383582E-4</v>
      </c>
      <c r="K63" s="1">
        <v>0.35439999999999999</v>
      </c>
      <c r="L63" s="1">
        <v>0.69259999999999999</v>
      </c>
      <c r="M63" s="1">
        <v>0.45490000000000003</v>
      </c>
      <c r="N63">
        <v>7.17E-2</v>
      </c>
      <c r="O63">
        <v>7.0099999999999996E-2</v>
      </c>
      <c r="P63">
        <v>6.8699999999999997E-2</v>
      </c>
      <c r="Q63">
        <v>8.0699999999999994E-2</v>
      </c>
      <c r="R63">
        <f t="shared" si="1"/>
        <v>-1.4</v>
      </c>
      <c r="S63">
        <f t="shared" si="2"/>
        <v>-1.5600000000000003</v>
      </c>
      <c r="T63">
        <f t="shared" si="3"/>
        <v>-1.7000000000000002</v>
      </c>
      <c r="U63">
        <f t="shared" si="4"/>
        <v>-0.50000000000000044</v>
      </c>
    </row>
    <row r="64" spans="1:21" x14ac:dyDescent="0.2">
      <c r="A64" s="1" t="s">
        <v>81</v>
      </c>
      <c r="B64" s="1">
        <v>15</v>
      </c>
      <c r="C64" s="1" t="s">
        <v>84</v>
      </c>
      <c r="D64" s="1">
        <v>1</v>
      </c>
      <c r="E64" s="1">
        <v>6.0609514052048299</v>
      </c>
      <c r="F64" s="1">
        <v>9.8123437054455191</v>
      </c>
      <c r="G64" s="1">
        <v>9.1711681522428905E-4</v>
      </c>
      <c r="H64" s="1">
        <v>18.654741311073298</v>
      </c>
      <c r="I64" s="1">
        <v>29.277416020631701</v>
      </c>
      <c r="J64" s="1">
        <v>1.18357616383582E-4</v>
      </c>
      <c r="K64" s="1">
        <v>0.33879999999999999</v>
      </c>
      <c r="L64" s="1">
        <v>0.81489999999999996</v>
      </c>
      <c r="M64" s="1">
        <v>0.62070000000000003</v>
      </c>
      <c r="N64">
        <v>7.9500000000000001E-2</v>
      </c>
      <c r="O64">
        <v>6.9699999999999998E-2</v>
      </c>
      <c r="P64">
        <v>8.4099999999999994E-2</v>
      </c>
      <c r="Q64">
        <v>9.2200000000000004E-2</v>
      </c>
      <c r="R64">
        <f t="shared" si="1"/>
        <v>-0.61999999999999966</v>
      </c>
      <c r="S64">
        <f t="shared" si="2"/>
        <v>-1.6</v>
      </c>
      <c r="T64">
        <f t="shared" si="3"/>
        <v>-0.16000000000000042</v>
      </c>
      <c r="U64">
        <f t="shared" si="4"/>
        <v>0.65000000000000058</v>
      </c>
    </row>
    <row r="65" spans="1:21" x14ac:dyDescent="0.2">
      <c r="A65" s="1" t="s">
        <v>81</v>
      </c>
      <c r="B65" s="1">
        <v>15</v>
      </c>
      <c r="C65" s="1" t="s">
        <v>85</v>
      </c>
      <c r="D65" s="1">
        <v>1</v>
      </c>
      <c r="E65" s="1">
        <v>6.0609514052048299</v>
      </c>
      <c r="F65" s="1">
        <v>9.8123437054455191</v>
      </c>
      <c r="G65" s="1">
        <v>9.1711681522428905E-4</v>
      </c>
      <c r="H65" s="1">
        <v>18.654741311073298</v>
      </c>
      <c r="I65" s="1">
        <v>29.277416020631701</v>
      </c>
      <c r="J65" s="1">
        <v>1.18357616383582E-4</v>
      </c>
      <c r="K65" s="1">
        <v>0.29920000000000002</v>
      </c>
      <c r="L65" s="1">
        <v>0.61929999999999996</v>
      </c>
      <c r="M65" s="1">
        <v>0.3982</v>
      </c>
      <c r="N65">
        <v>6.6500000000000004E-2</v>
      </c>
      <c r="O65">
        <v>6.0499999999999998E-2</v>
      </c>
      <c r="P65">
        <v>7.1499999999999994E-2</v>
      </c>
      <c r="Q65">
        <v>7.6999999999999999E-2</v>
      </c>
      <c r="R65">
        <f t="shared" si="1"/>
        <v>-1.9199999999999995</v>
      </c>
      <c r="S65">
        <f t="shared" si="2"/>
        <v>-2.52</v>
      </c>
      <c r="T65">
        <f t="shared" si="3"/>
        <v>-1.4200000000000004</v>
      </c>
      <c r="U65">
        <f t="shared" si="4"/>
        <v>-0.86999999999999988</v>
      </c>
    </row>
    <row r="66" spans="1:21" x14ac:dyDescent="0.2">
      <c r="A66" s="1" t="s">
        <v>86</v>
      </c>
      <c r="B66" s="1">
        <v>16</v>
      </c>
      <c r="C66" s="1" t="s">
        <v>87</v>
      </c>
      <c r="D66" s="1">
        <v>1</v>
      </c>
      <c r="E66" s="1">
        <v>45.610725628212002</v>
      </c>
      <c r="F66" s="1">
        <v>1.3583778422325801</v>
      </c>
      <c r="G66" s="1">
        <v>7.9607481194101201E-2</v>
      </c>
      <c r="H66" s="1">
        <v>7.5487740635871798</v>
      </c>
      <c r="I66" s="1">
        <v>35.651485878042799</v>
      </c>
      <c r="J66" s="1">
        <v>2.7604385958984398E-4</v>
      </c>
      <c r="K66" s="1">
        <v>0.15329999999999999</v>
      </c>
      <c r="L66" s="1">
        <v>0.26419999999999999</v>
      </c>
      <c r="M66" s="1">
        <v>0.16719999999999999</v>
      </c>
      <c r="N66">
        <v>5.4300000000000001E-2</v>
      </c>
      <c r="O66">
        <v>5.6899999999999999E-2</v>
      </c>
      <c r="P66">
        <v>5.91E-2</v>
      </c>
      <c r="Q66">
        <v>5.74E-2</v>
      </c>
      <c r="R66">
        <f t="shared" si="1"/>
        <v>-3.1399999999999997</v>
      </c>
      <c r="S66">
        <f t="shared" si="2"/>
        <v>-2.88</v>
      </c>
      <c r="T66">
        <f t="shared" si="3"/>
        <v>-2.6599999999999997</v>
      </c>
      <c r="U66">
        <f t="shared" si="4"/>
        <v>-2.8299999999999996</v>
      </c>
    </row>
    <row r="67" spans="1:21" x14ac:dyDescent="0.2">
      <c r="A67" s="1" t="s">
        <v>86</v>
      </c>
      <c r="B67" s="1">
        <v>16</v>
      </c>
      <c r="C67" s="1" t="s">
        <v>88</v>
      </c>
      <c r="D67" s="1">
        <v>1</v>
      </c>
      <c r="E67" s="1">
        <v>45.610725628212002</v>
      </c>
      <c r="F67" s="1">
        <v>1.3583778422325801</v>
      </c>
      <c r="G67" s="1">
        <v>7.9607481194101201E-2</v>
      </c>
      <c r="H67" s="1">
        <v>7.5487740635871798</v>
      </c>
      <c r="I67" s="1">
        <v>35.651485878042799</v>
      </c>
      <c r="J67" s="1">
        <v>2.7604385958984398E-4</v>
      </c>
      <c r="K67" s="1">
        <v>0.1542</v>
      </c>
      <c r="L67" s="1">
        <v>0.31390000000000001</v>
      </c>
      <c r="M67" s="1">
        <v>0.18149999999999999</v>
      </c>
      <c r="N67">
        <v>5.4399999999999997E-2</v>
      </c>
      <c r="O67">
        <v>5.3600000000000002E-2</v>
      </c>
      <c r="P67">
        <v>6.0400000000000002E-2</v>
      </c>
      <c r="Q67">
        <v>6.2100000000000002E-2</v>
      </c>
      <c r="R67">
        <f t="shared" ref="R67:R130" si="5">(N67-0.0857)/0.01</f>
        <v>-3.13</v>
      </c>
      <c r="S67">
        <f t="shared" ref="S67:S130" si="6">(O67-0.0857)/0.01</f>
        <v>-3.2099999999999995</v>
      </c>
      <c r="T67">
        <f t="shared" ref="T67:T130" si="7">(P67-0.0857)/0.01</f>
        <v>-2.5299999999999994</v>
      </c>
      <c r="U67">
        <f t="shared" ref="U67:U130" si="8">(Q67-0.0857)/0.01</f>
        <v>-2.3599999999999994</v>
      </c>
    </row>
    <row r="68" spans="1:21" x14ac:dyDescent="0.2">
      <c r="A68" s="1" t="s">
        <v>86</v>
      </c>
      <c r="B68" s="1">
        <v>16</v>
      </c>
      <c r="C68" s="1" t="s">
        <v>89</v>
      </c>
      <c r="D68" s="1">
        <v>1</v>
      </c>
      <c r="E68" s="1">
        <v>45.610725628212002</v>
      </c>
      <c r="F68" s="1">
        <v>1.3583778422325801</v>
      </c>
      <c r="G68" s="1">
        <v>7.9607481194101201E-2</v>
      </c>
      <c r="H68" s="1">
        <v>7.5487740635871798</v>
      </c>
      <c r="I68" s="1">
        <v>35.651485878042799</v>
      </c>
      <c r="J68" s="1">
        <v>2.7604385958984398E-4</v>
      </c>
      <c r="K68" s="1">
        <v>0.22339999999999999</v>
      </c>
      <c r="L68" s="1">
        <v>0.45829999999999999</v>
      </c>
      <c r="M68" s="1">
        <v>0.19239999999999999</v>
      </c>
      <c r="N68">
        <v>6.1899999999999997E-2</v>
      </c>
      <c r="O68">
        <v>6.2199999999999998E-2</v>
      </c>
      <c r="P68">
        <v>6.6000000000000003E-2</v>
      </c>
      <c r="Q68">
        <v>6.0999999999999999E-2</v>
      </c>
      <c r="R68">
        <f t="shared" si="5"/>
        <v>-2.3800000000000003</v>
      </c>
      <c r="S68">
        <f t="shared" si="6"/>
        <v>-2.35</v>
      </c>
      <c r="T68">
        <f t="shared" si="7"/>
        <v>-1.9699999999999995</v>
      </c>
      <c r="U68">
        <f t="shared" si="8"/>
        <v>-2.4699999999999998</v>
      </c>
    </row>
    <row r="69" spans="1:21" x14ac:dyDescent="0.2">
      <c r="A69" s="1" t="s">
        <v>86</v>
      </c>
      <c r="B69" s="1">
        <v>16</v>
      </c>
      <c r="C69" s="1" t="s">
        <v>90</v>
      </c>
      <c r="D69" s="1">
        <v>1</v>
      </c>
      <c r="E69" s="1">
        <v>45.610725628212002</v>
      </c>
      <c r="F69" s="1">
        <v>1.3583778422325801</v>
      </c>
      <c r="G69" s="1">
        <v>7.9607481194101201E-2</v>
      </c>
      <c r="H69" s="1">
        <v>7.5487740635871798</v>
      </c>
      <c r="I69" s="1">
        <v>35.651485878042799</v>
      </c>
      <c r="J69" s="1">
        <v>2.7604385958984398E-4</v>
      </c>
      <c r="K69" s="1">
        <v>0.13039999999999999</v>
      </c>
      <c r="L69" s="1">
        <v>0.25679999999999997</v>
      </c>
      <c r="M69" s="1">
        <v>0.19259999999999999</v>
      </c>
      <c r="N69">
        <v>6.5100000000000005E-2</v>
      </c>
      <c r="O69">
        <v>6.6600000000000006E-2</v>
      </c>
      <c r="P69">
        <v>0.1195</v>
      </c>
      <c r="Q69">
        <v>7.2499999999999995E-2</v>
      </c>
      <c r="R69">
        <f t="shared" si="5"/>
        <v>-2.0599999999999992</v>
      </c>
      <c r="S69">
        <f t="shared" si="6"/>
        <v>-1.9099999999999993</v>
      </c>
      <c r="T69">
        <f t="shared" si="7"/>
        <v>3.3799999999999994</v>
      </c>
      <c r="U69">
        <f t="shared" si="8"/>
        <v>-1.3200000000000003</v>
      </c>
    </row>
    <row r="70" spans="1:21" x14ac:dyDescent="0.2">
      <c r="A70" s="1" t="s">
        <v>91</v>
      </c>
      <c r="B70" s="1">
        <v>17</v>
      </c>
      <c r="C70" s="1" t="s">
        <v>92</v>
      </c>
      <c r="D70" s="1">
        <v>1</v>
      </c>
      <c r="E70" s="1">
        <v>24.875612894538701</v>
      </c>
      <c r="F70" s="1">
        <v>54.082497013732699</v>
      </c>
      <c r="G70" s="1">
        <v>1.00065506570041E-2</v>
      </c>
      <c r="H70" s="1">
        <v>62.826629596203503</v>
      </c>
      <c r="I70" s="1">
        <v>50.883297999389399</v>
      </c>
      <c r="J70" s="1">
        <v>4.7161277094390202E-3</v>
      </c>
      <c r="K70" s="1">
        <v>0.1661</v>
      </c>
      <c r="L70" s="1">
        <v>0.51339999999999997</v>
      </c>
      <c r="M70" s="1">
        <v>0.29149999999999998</v>
      </c>
      <c r="N70">
        <v>7.7100000000000002E-2</v>
      </c>
      <c r="O70">
        <v>7.5800000000000006E-2</v>
      </c>
      <c r="P70">
        <v>7.8700000000000006E-2</v>
      </c>
      <c r="Q70">
        <v>7.8799999999999995E-2</v>
      </c>
      <c r="R70">
        <f t="shared" si="5"/>
        <v>-0.85999999999999965</v>
      </c>
      <c r="S70">
        <f t="shared" si="6"/>
        <v>-0.98999999999999921</v>
      </c>
      <c r="T70">
        <f t="shared" si="7"/>
        <v>-0.69999999999999918</v>
      </c>
      <c r="U70">
        <f t="shared" si="8"/>
        <v>-0.69000000000000028</v>
      </c>
    </row>
    <row r="71" spans="1:21" x14ac:dyDescent="0.2">
      <c r="A71" s="1" t="s">
        <v>91</v>
      </c>
      <c r="B71" s="1">
        <v>17</v>
      </c>
      <c r="C71" s="1" t="s">
        <v>93</v>
      </c>
      <c r="D71" s="1">
        <v>1</v>
      </c>
      <c r="E71" s="1">
        <v>24.875612894538701</v>
      </c>
      <c r="F71" s="1">
        <v>54.082497013732699</v>
      </c>
      <c r="G71" s="1">
        <v>1.00065506570041E-2</v>
      </c>
      <c r="H71" s="1">
        <v>62.826629596203503</v>
      </c>
      <c r="I71" s="1">
        <v>50.883297999389399</v>
      </c>
      <c r="J71" s="1">
        <v>4.7161277094390202E-3</v>
      </c>
      <c r="K71" s="1">
        <v>0.29010000000000002</v>
      </c>
      <c r="L71" s="1">
        <v>0.2445</v>
      </c>
      <c r="M71" s="1">
        <v>0.28110000000000002</v>
      </c>
      <c r="N71">
        <v>7.7100000000000002E-2</v>
      </c>
      <c r="O71">
        <v>7.7499999999999999E-2</v>
      </c>
      <c r="P71">
        <v>8.5500000000000007E-2</v>
      </c>
      <c r="Q71">
        <v>8.72E-2</v>
      </c>
      <c r="R71">
        <f t="shared" si="5"/>
        <v>-0.85999999999999965</v>
      </c>
      <c r="S71">
        <f t="shared" si="6"/>
        <v>-0.81999999999999984</v>
      </c>
      <c r="T71">
        <f t="shared" si="7"/>
        <v>-1.9999999999999185E-2</v>
      </c>
      <c r="U71">
        <f t="shared" si="8"/>
        <v>0.15000000000000013</v>
      </c>
    </row>
    <row r="72" spans="1:21" x14ac:dyDescent="0.2">
      <c r="A72" s="1" t="s">
        <v>91</v>
      </c>
      <c r="B72" s="1">
        <v>17</v>
      </c>
      <c r="C72" s="1" t="s">
        <v>94</v>
      </c>
      <c r="D72" s="1">
        <v>1</v>
      </c>
      <c r="E72" s="1">
        <v>24.875612894538701</v>
      </c>
      <c r="F72" s="1">
        <v>54.082497013732699</v>
      </c>
      <c r="G72" s="1">
        <v>1.00065506570041E-2</v>
      </c>
      <c r="H72" s="1">
        <v>62.826629596203503</v>
      </c>
      <c r="I72" s="1">
        <v>50.883297999389399</v>
      </c>
      <c r="J72" s="1">
        <v>4.7161277094390202E-3</v>
      </c>
      <c r="K72" s="1">
        <v>0.56430000000000002</v>
      </c>
      <c r="L72" s="1">
        <v>0.23449999999999999</v>
      </c>
      <c r="M72" s="1">
        <v>0.3135</v>
      </c>
      <c r="N72">
        <v>8.3400000000000002E-2</v>
      </c>
      <c r="O72">
        <v>0.09</v>
      </c>
      <c r="P72">
        <v>8.9200000000000002E-2</v>
      </c>
      <c r="Q72">
        <v>9.1600000000000001E-2</v>
      </c>
      <c r="R72">
        <f t="shared" si="5"/>
        <v>-0.22999999999999965</v>
      </c>
      <c r="S72">
        <f t="shared" si="6"/>
        <v>0.42999999999999983</v>
      </c>
      <c r="T72">
        <f t="shared" si="7"/>
        <v>0.35000000000000031</v>
      </c>
      <c r="U72">
        <f t="shared" si="8"/>
        <v>0.59000000000000019</v>
      </c>
    </row>
    <row r="73" spans="1:21" x14ac:dyDescent="0.2">
      <c r="A73" s="1" t="s">
        <v>91</v>
      </c>
      <c r="B73" s="1">
        <v>17</v>
      </c>
      <c r="C73" s="1" t="s">
        <v>95</v>
      </c>
      <c r="D73" s="1">
        <v>1</v>
      </c>
      <c r="E73" s="1">
        <v>24.875612894538701</v>
      </c>
      <c r="F73" s="1">
        <v>54.082497013732699</v>
      </c>
      <c r="G73" s="1">
        <v>1.00065506570041E-2</v>
      </c>
      <c r="H73" s="1">
        <v>62.826629596203503</v>
      </c>
      <c r="I73" s="1">
        <v>50.883297999389399</v>
      </c>
      <c r="J73" s="1">
        <v>4.7161277094390202E-3</v>
      </c>
      <c r="K73" s="1">
        <v>0.1618</v>
      </c>
      <c r="L73" s="1">
        <v>0.62039999999999995</v>
      </c>
      <c r="M73" s="1">
        <v>0.28420000000000001</v>
      </c>
      <c r="N73">
        <v>7.6300000000000007E-2</v>
      </c>
      <c r="O73">
        <v>7.6499999999999999E-2</v>
      </c>
      <c r="P73">
        <v>9.2700000000000005E-2</v>
      </c>
      <c r="Q73">
        <v>8.3599999999999994E-2</v>
      </c>
      <c r="R73">
        <f t="shared" si="5"/>
        <v>-0.93999999999999917</v>
      </c>
      <c r="S73">
        <f t="shared" si="6"/>
        <v>-0.91999999999999993</v>
      </c>
      <c r="T73">
        <f t="shared" si="7"/>
        <v>0.70000000000000062</v>
      </c>
      <c r="U73">
        <f t="shared" si="8"/>
        <v>-0.21000000000000046</v>
      </c>
    </row>
    <row r="74" spans="1:21" x14ac:dyDescent="0.2">
      <c r="A74" s="1" t="s">
        <v>96</v>
      </c>
      <c r="B74" s="1">
        <v>18</v>
      </c>
      <c r="C74" s="1" t="s">
        <v>97</v>
      </c>
      <c r="D74" s="1">
        <v>1</v>
      </c>
      <c r="E74" s="1">
        <v>49.880894555710199</v>
      </c>
      <c r="F74" s="1">
        <v>27.548371213488199</v>
      </c>
      <c r="G74" s="1">
        <v>8.00933580473065E-4</v>
      </c>
      <c r="H74" s="1">
        <v>35.300557237118397</v>
      </c>
      <c r="I74" s="1">
        <v>100.04281359258999</v>
      </c>
      <c r="J74" s="1">
        <v>3.6647611634805797E-3</v>
      </c>
      <c r="K74" s="1">
        <v>0.15909999999999999</v>
      </c>
      <c r="L74" s="1">
        <v>0.75609999999999999</v>
      </c>
      <c r="M74" s="1">
        <v>0.11169999999999999</v>
      </c>
      <c r="N74">
        <v>6.2E-2</v>
      </c>
      <c r="O74">
        <v>6.25E-2</v>
      </c>
      <c r="P74">
        <v>7.0999999999999994E-2</v>
      </c>
      <c r="Q74">
        <v>6.6900000000000001E-2</v>
      </c>
      <c r="R74">
        <f t="shared" si="5"/>
        <v>-2.3699999999999997</v>
      </c>
      <c r="S74">
        <f t="shared" si="6"/>
        <v>-2.3199999999999998</v>
      </c>
      <c r="T74">
        <f t="shared" si="7"/>
        <v>-1.4700000000000004</v>
      </c>
      <c r="U74">
        <f t="shared" si="8"/>
        <v>-1.8799999999999997</v>
      </c>
    </row>
    <row r="75" spans="1:21" x14ac:dyDescent="0.2">
      <c r="A75" s="1" t="s">
        <v>96</v>
      </c>
      <c r="B75" s="1">
        <v>18</v>
      </c>
      <c r="C75" s="1" t="s">
        <v>98</v>
      </c>
      <c r="D75" s="1">
        <v>1</v>
      </c>
      <c r="E75" s="1">
        <v>49.880894555710199</v>
      </c>
      <c r="F75" s="1">
        <v>27.548371213488199</v>
      </c>
      <c r="G75" s="1">
        <v>8.00933580473065E-4</v>
      </c>
      <c r="H75" s="1">
        <v>35.300557237118397</v>
      </c>
      <c r="I75" s="1">
        <v>100.04281359258999</v>
      </c>
      <c r="J75" s="1">
        <v>3.6647611634805797E-3</v>
      </c>
      <c r="K75" s="1">
        <v>0.1225</v>
      </c>
      <c r="L75" s="1">
        <v>0.27500000000000002</v>
      </c>
      <c r="M75" s="1">
        <v>0.44429999999999997</v>
      </c>
      <c r="N75">
        <v>5.9400000000000001E-2</v>
      </c>
      <c r="O75">
        <v>5.8599999999999999E-2</v>
      </c>
      <c r="P75">
        <v>7.1900000000000006E-2</v>
      </c>
      <c r="Q75">
        <v>8.3299999999999999E-2</v>
      </c>
      <c r="R75">
        <f t="shared" si="5"/>
        <v>-2.6299999999999994</v>
      </c>
      <c r="S75">
        <f t="shared" si="6"/>
        <v>-2.71</v>
      </c>
      <c r="T75">
        <f t="shared" si="7"/>
        <v>-1.3799999999999992</v>
      </c>
      <c r="U75">
        <f t="shared" si="8"/>
        <v>-0.23999999999999994</v>
      </c>
    </row>
    <row r="76" spans="1:21" x14ac:dyDescent="0.2">
      <c r="A76" s="1" t="s">
        <v>96</v>
      </c>
      <c r="B76" s="1">
        <v>18</v>
      </c>
      <c r="C76" s="1" t="s">
        <v>99</v>
      </c>
      <c r="D76" s="1">
        <v>1</v>
      </c>
      <c r="E76" s="1">
        <v>49.880894555710199</v>
      </c>
      <c r="F76" s="1">
        <v>27.548371213488199</v>
      </c>
      <c r="G76" s="1">
        <v>8.00933580473065E-4</v>
      </c>
      <c r="H76" s="1">
        <v>35.300557237118397</v>
      </c>
      <c r="I76" s="1">
        <v>100.04281359258999</v>
      </c>
      <c r="J76" s="1">
        <v>3.6647611634805797E-3</v>
      </c>
      <c r="K76" s="1">
        <v>0.15190000000000001</v>
      </c>
      <c r="L76" s="1">
        <v>0.2732</v>
      </c>
      <c r="M76" s="1">
        <v>0.1447</v>
      </c>
      <c r="N76">
        <v>6.8900000000000003E-2</v>
      </c>
      <c r="O76">
        <v>0.10630000000000001</v>
      </c>
      <c r="P76">
        <v>7.6899999999999996E-2</v>
      </c>
      <c r="Q76">
        <v>7.0099999999999996E-2</v>
      </c>
      <c r="R76">
        <f t="shared" si="5"/>
        <v>-1.6799999999999995</v>
      </c>
      <c r="S76">
        <f t="shared" si="6"/>
        <v>2.0600000000000005</v>
      </c>
      <c r="T76">
        <f t="shared" si="7"/>
        <v>-0.88000000000000023</v>
      </c>
      <c r="U76">
        <f t="shared" si="8"/>
        <v>-1.5600000000000003</v>
      </c>
    </row>
    <row r="77" spans="1:21" x14ac:dyDescent="0.2">
      <c r="A77" s="1" t="s">
        <v>96</v>
      </c>
      <c r="B77" s="1">
        <v>18</v>
      </c>
      <c r="C77" s="1" t="s">
        <v>100</v>
      </c>
      <c r="D77" s="1">
        <v>1</v>
      </c>
      <c r="E77" s="1">
        <v>49.880894555710199</v>
      </c>
      <c r="F77" s="1">
        <v>27.548371213488199</v>
      </c>
      <c r="G77" s="1">
        <v>8.00933580473065E-4</v>
      </c>
      <c r="H77" s="1">
        <v>35.300557237118397</v>
      </c>
      <c r="I77" s="1">
        <v>100.04281359258999</v>
      </c>
      <c r="J77" s="1">
        <v>3.6647611634805797E-3</v>
      </c>
      <c r="K77" s="1">
        <v>0.1721</v>
      </c>
      <c r="L77" s="1">
        <v>0.26690000000000003</v>
      </c>
      <c r="M77" s="1">
        <v>0.19009999999999999</v>
      </c>
      <c r="N77">
        <v>7.6899999999999996E-2</v>
      </c>
      <c r="O77">
        <v>8.09E-2</v>
      </c>
      <c r="P77">
        <v>8.2400000000000001E-2</v>
      </c>
      <c r="Q77">
        <v>7.0099999999999996E-2</v>
      </c>
      <c r="R77">
        <f t="shared" si="5"/>
        <v>-0.88000000000000023</v>
      </c>
      <c r="S77">
        <f t="shared" si="6"/>
        <v>-0.47999999999999987</v>
      </c>
      <c r="T77">
        <f t="shared" si="7"/>
        <v>-0.32999999999999974</v>
      </c>
      <c r="U77">
        <f t="shared" si="8"/>
        <v>-1.5600000000000003</v>
      </c>
    </row>
    <row r="78" spans="1:21" x14ac:dyDescent="0.2">
      <c r="A78" s="1" t="s">
        <v>101</v>
      </c>
      <c r="B78" s="1">
        <v>19</v>
      </c>
      <c r="C78" s="1" t="s">
        <v>102</v>
      </c>
      <c r="D78" s="1">
        <v>1</v>
      </c>
      <c r="E78" s="1">
        <v>30.547811273951002</v>
      </c>
      <c r="F78" s="1">
        <v>26.157160803675598</v>
      </c>
      <c r="G78" s="1">
        <v>1.2526160190626899E-2</v>
      </c>
      <c r="H78" s="1">
        <v>89.542027907073503</v>
      </c>
      <c r="I78" s="1">
        <v>85.782927148975403</v>
      </c>
      <c r="J78" s="1">
        <v>4.5680302528198803E-3</v>
      </c>
      <c r="K78" s="1">
        <v>0.16300000000000001</v>
      </c>
      <c r="L78" s="1">
        <v>0.43940000000000001</v>
      </c>
      <c r="M78" s="1">
        <v>0.33900000000000002</v>
      </c>
      <c r="N78">
        <v>7.3300000000000004E-2</v>
      </c>
      <c r="O78">
        <v>8.1500000000000003E-2</v>
      </c>
      <c r="P78">
        <v>8.4699999999999998E-2</v>
      </c>
      <c r="Q78">
        <v>7.6700000000000004E-2</v>
      </c>
      <c r="R78">
        <f t="shared" si="5"/>
        <v>-1.2399999999999993</v>
      </c>
      <c r="S78">
        <f t="shared" si="6"/>
        <v>-0.41999999999999954</v>
      </c>
      <c r="T78">
        <f t="shared" si="7"/>
        <v>-0.10000000000000009</v>
      </c>
      <c r="U78">
        <f t="shared" si="8"/>
        <v>-0.89999999999999936</v>
      </c>
    </row>
    <row r="79" spans="1:21" x14ac:dyDescent="0.2">
      <c r="A79" s="1" t="s">
        <v>101</v>
      </c>
      <c r="B79" s="1">
        <v>19</v>
      </c>
      <c r="C79" s="1" t="s">
        <v>103</v>
      </c>
      <c r="D79" s="1">
        <v>1</v>
      </c>
      <c r="E79" s="1">
        <v>30.547811273951002</v>
      </c>
      <c r="F79" s="1">
        <v>26.157160803675598</v>
      </c>
      <c r="G79" s="1">
        <v>1.2526160190626899E-2</v>
      </c>
      <c r="H79" s="1">
        <v>89.542027907073503</v>
      </c>
      <c r="I79" s="1">
        <v>85.782927148975403</v>
      </c>
      <c r="J79" s="1">
        <v>4.5680302528198803E-3</v>
      </c>
      <c r="K79" s="1">
        <v>0.16639999999999999</v>
      </c>
      <c r="L79" s="1">
        <v>0.24060000000000001</v>
      </c>
      <c r="M79" s="1">
        <v>0.30690000000000001</v>
      </c>
      <c r="N79">
        <v>7.8600000000000003E-2</v>
      </c>
      <c r="O79">
        <v>7.8200000000000006E-2</v>
      </c>
      <c r="P79">
        <v>0.1106</v>
      </c>
      <c r="Q79">
        <v>7.8600000000000003E-2</v>
      </c>
      <c r="R79">
        <f t="shared" si="5"/>
        <v>-0.70999999999999952</v>
      </c>
      <c r="S79">
        <f t="shared" si="6"/>
        <v>-0.74999999999999922</v>
      </c>
      <c r="T79">
        <f t="shared" si="7"/>
        <v>2.4900000000000007</v>
      </c>
      <c r="U79">
        <f t="shared" si="8"/>
        <v>-0.70999999999999952</v>
      </c>
    </row>
    <row r="80" spans="1:21" x14ac:dyDescent="0.2">
      <c r="A80" s="1" t="s">
        <v>101</v>
      </c>
      <c r="B80" s="1">
        <v>19</v>
      </c>
      <c r="C80" s="1" t="s">
        <v>104</v>
      </c>
      <c r="D80" s="1">
        <v>1</v>
      </c>
      <c r="E80" s="1">
        <v>30.547811273951002</v>
      </c>
      <c r="F80" s="1">
        <v>26.157160803675598</v>
      </c>
      <c r="G80" s="1">
        <v>1.2526160190626899E-2</v>
      </c>
      <c r="H80" s="1">
        <v>89.542027907073503</v>
      </c>
      <c r="I80" s="1">
        <v>85.782927148975403</v>
      </c>
      <c r="J80" s="1">
        <v>4.5680302528198803E-3</v>
      </c>
      <c r="K80" s="1">
        <v>0.1389</v>
      </c>
      <c r="L80" s="1">
        <v>0.24179999999999999</v>
      </c>
      <c r="M80" s="1">
        <v>0.24279999999999999</v>
      </c>
      <c r="N80">
        <v>8.5099999999999995E-2</v>
      </c>
      <c r="O80">
        <v>8.2199999999999995E-2</v>
      </c>
      <c r="P80">
        <v>9.7299999999999998E-2</v>
      </c>
      <c r="Q80">
        <v>8.9899999999999994E-2</v>
      </c>
      <c r="R80">
        <f t="shared" si="5"/>
        <v>-6.0000000000000331E-2</v>
      </c>
      <c r="S80">
        <f t="shared" si="6"/>
        <v>-0.35000000000000031</v>
      </c>
      <c r="T80">
        <f t="shared" si="7"/>
        <v>1.1599999999999999</v>
      </c>
      <c r="U80">
        <f t="shared" si="8"/>
        <v>0.41999999999999954</v>
      </c>
    </row>
    <row r="81" spans="1:21" x14ac:dyDescent="0.2">
      <c r="A81" s="1" t="s">
        <v>101</v>
      </c>
      <c r="B81" s="1">
        <v>19</v>
      </c>
      <c r="C81" s="1" t="s">
        <v>105</v>
      </c>
      <c r="D81" s="1">
        <v>1</v>
      </c>
      <c r="E81" s="1">
        <v>30.547811273951002</v>
      </c>
      <c r="F81" s="1">
        <v>26.157160803675598</v>
      </c>
      <c r="G81" s="1">
        <v>1.2526160190626899E-2</v>
      </c>
      <c r="H81" s="1">
        <v>89.542027907073503</v>
      </c>
      <c r="I81" s="1">
        <v>85.782927148975403</v>
      </c>
      <c r="J81" s="1">
        <v>4.5680302528198803E-3</v>
      </c>
      <c r="K81" s="1">
        <v>0.1439</v>
      </c>
      <c r="L81" s="1">
        <v>0.2445</v>
      </c>
      <c r="M81" s="1">
        <v>0.23369999999999999</v>
      </c>
      <c r="N81">
        <v>7.51E-2</v>
      </c>
      <c r="O81">
        <v>7.8299999999999995E-2</v>
      </c>
      <c r="P81">
        <v>0.10249999999999999</v>
      </c>
      <c r="Q81">
        <v>8.2299999999999998E-2</v>
      </c>
      <c r="R81">
        <f t="shared" si="5"/>
        <v>-1.0599999999999998</v>
      </c>
      <c r="S81">
        <f t="shared" si="6"/>
        <v>-0.74000000000000032</v>
      </c>
      <c r="T81">
        <f t="shared" si="7"/>
        <v>1.6799999999999995</v>
      </c>
      <c r="U81">
        <f t="shared" si="8"/>
        <v>-0.34</v>
      </c>
    </row>
    <row r="82" spans="1:21" x14ac:dyDescent="0.2">
      <c r="A82" s="1" t="s">
        <v>106</v>
      </c>
      <c r="B82" s="1">
        <v>20</v>
      </c>
      <c r="C82" s="1" t="s">
        <v>107</v>
      </c>
      <c r="D82" s="1">
        <v>1</v>
      </c>
      <c r="E82" s="1">
        <v>3.8918015542440099</v>
      </c>
      <c r="F82" s="1">
        <v>84.962482070550294</v>
      </c>
      <c r="G82" s="1">
        <v>7.2679427972063395E-3</v>
      </c>
      <c r="H82" s="1">
        <v>141.338468691706</v>
      </c>
      <c r="I82" s="1">
        <v>72.434541117399903</v>
      </c>
      <c r="J82" s="1">
        <v>4.9350823682267203E-3</v>
      </c>
      <c r="K82" s="1">
        <v>0.1106</v>
      </c>
      <c r="L82" s="1">
        <v>7.7600000000000002E-2</v>
      </c>
      <c r="M82" s="1">
        <v>0.17710000000000001</v>
      </c>
      <c r="N82">
        <v>7.4300000000000005E-2</v>
      </c>
      <c r="O82">
        <v>8.0299999999999996E-2</v>
      </c>
      <c r="P82">
        <v>9.0800000000000006E-2</v>
      </c>
      <c r="Q82">
        <v>9.2600000000000002E-2</v>
      </c>
      <c r="R82">
        <f t="shared" si="5"/>
        <v>-1.1399999999999992</v>
      </c>
      <c r="S82">
        <f t="shared" si="6"/>
        <v>-0.54000000000000015</v>
      </c>
      <c r="T82">
        <f t="shared" si="7"/>
        <v>0.51000000000000068</v>
      </c>
      <c r="U82">
        <f t="shared" si="8"/>
        <v>0.69000000000000028</v>
      </c>
    </row>
    <row r="83" spans="1:21" x14ac:dyDescent="0.2">
      <c r="A83" s="1" t="s">
        <v>106</v>
      </c>
      <c r="B83" s="1">
        <v>20</v>
      </c>
      <c r="C83" s="1" t="s">
        <v>108</v>
      </c>
      <c r="D83" s="1">
        <v>1</v>
      </c>
      <c r="E83" s="1">
        <v>3.8918015542440099</v>
      </c>
      <c r="F83" s="1">
        <v>84.962482070550294</v>
      </c>
      <c r="G83" s="1">
        <v>7.2679427972063395E-3</v>
      </c>
      <c r="H83" s="1">
        <v>141.338468691706</v>
      </c>
      <c r="I83" s="1">
        <v>72.434541117399903</v>
      </c>
      <c r="J83" s="1">
        <v>4.9350823682267203E-3</v>
      </c>
      <c r="K83" s="1">
        <v>0.1077</v>
      </c>
      <c r="L83" s="1">
        <v>7.7299999999999994E-2</v>
      </c>
      <c r="M83" s="1">
        <v>0.1946</v>
      </c>
      <c r="N83">
        <v>8.2900000000000001E-2</v>
      </c>
      <c r="O83">
        <v>8.0699999999999994E-2</v>
      </c>
      <c r="P83">
        <v>8.7999999999999995E-2</v>
      </c>
      <c r="Q83">
        <v>9.5200000000000007E-2</v>
      </c>
      <c r="R83">
        <f t="shared" si="5"/>
        <v>-0.27999999999999969</v>
      </c>
      <c r="S83">
        <f t="shared" si="6"/>
        <v>-0.50000000000000044</v>
      </c>
      <c r="T83">
        <f t="shared" si="7"/>
        <v>0.22999999999999965</v>
      </c>
      <c r="U83">
        <f t="shared" si="8"/>
        <v>0.95000000000000084</v>
      </c>
    </row>
    <row r="84" spans="1:21" x14ac:dyDescent="0.2">
      <c r="A84" s="1" t="s">
        <v>106</v>
      </c>
      <c r="B84" s="1">
        <v>20</v>
      </c>
      <c r="C84" s="1" t="s">
        <v>109</v>
      </c>
      <c r="D84" s="1">
        <v>1</v>
      </c>
      <c r="E84" s="1">
        <v>3.8918015542440099</v>
      </c>
      <c r="F84" s="1">
        <v>84.962482070550294</v>
      </c>
      <c r="G84" s="1">
        <v>7.2679427972063395E-3</v>
      </c>
      <c r="H84" s="1">
        <v>141.338468691706</v>
      </c>
      <c r="I84" s="1">
        <v>72.434541117399903</v>
      </c>
      <c r="J84" s="1">
        <v>4.9350823682267203E-3</v>
      </c>
      <c r="K84" s="1">
        <v>0.1188</v>
      </c>
      <c r="L84" s="1">
        <v>7.9899999999999999E-2</v>
      </c>
      <c r="M84" s="1">
        <v>0.18870000000000001</v>
      </c>
      <c r="N84">
        <v>8.2299999999999998E-2</v>
      </c>
      <c r="O84">
        <v>8.3099999999999993E-2</v>
      </c>
      <c r="P84">
        <v>8.2799999999999999E-2</v>
      </c>
      <c r="Q84">
        <v>9.2899999999999996E-2</v>
      </c>
      <c r="R84">
        <f t="shared" si="5"/>
        <v>-0.34</v>
      </c>
      <c r="S84">
        <f t="shared" si="6"/>
        <v>-0.26000000000000051</v>
      </c>
      <c r="T84">
        <f t="shared" si="7"/>
        <v>-0.28999999999999998</v>
      </c>
      <c r="U84">
        <f t="shared" si="8"/>
        <v>0.71999999999999975</v>
      </c>
    </row>
    <row r="85" spans="1:21" x14ac:dyDescent="0.2">
      <c r="A85" s="1" t="s">
        <v>106</v>
      </c>
      <c r="B85" s="1">
        <v>20</v>
      </c>
      <c r="C85" s="1" t="s">
        <v>110</v>
      </c>
      <c r="D85" s="1">
        <v>1</v>
      </c>
      <c r="E85" s="1">
        <v>3.8918015542440099</v>
      </c>
      <c r="F85" s="1">
        <v>84.962482070550294</v>
      </c>
      <c r="G85" s="1">
        <v>7.2679427972063395E-3</v>
      </c>
      <c r="H85" s="1">
        <v>141.338468691706</v>
      </c>
      <c r="I85" s="1">
        <v>72.434541117399903</v>
      </c>
      <c r="J85" s="1">
        <v>4.9350823682267203E-3</v>
      </c>
      <c r="K85" s="1">
        <v>0.12239999999999999</v>
      </c>
      <c r="L85" s="1">
        <v>8.0600000000000005E-2</v>
      </c>
      <c r="M85" s="1">
        <v>0.14069999999999999</v>
      </c>
      <c r="N85">
        <v>8.77E-2</v>
      </c>
      <c r="O85">
        <v>9.3399999999999997E-2</v>
      </c>
      <c r="P85">
        <v>8.7999999999999995E-2</v>
      </c>
      <c r="Q85">
        <v>9.0899999999999995E-2</v>
      </c>
      <c r="R85">
        <f t="shared" si="5"/>
        <v>0.20000000000000018</v>
      </c>
      <c r="S85">
        <f t="shared" si="6"/>
        <v>0.7699999999999998</v>
      </c>
      <c r="T85">
        <f t="shared" si="7"/>
        <v>0.22999999999999965</v>
      </c>
      <c r="U85">
        <f t="shared" si="8"/>
        <v>0.51999999999999957</v>
      </c>
    </row>
    <row r="86" spans="1:21" x14ac:dyDescent="0.2">
      <c r="A86" s="1" t="s">
        <v>111</v>
      </c>
      <c r="B86" s="1">
        <v>21</v>
      </c>
      <c r="C86" s="1" t="s">
        <v>112</v>
      </c>
      <c r="D86" s="1">
        <v>1</v>
      </c>
      <c r="E86" s="1">
        <v>33.074030220974201</v>
      </c>
      <c r="F86" s="1">
        <v>1.85206396784633</v>
      </c>
      <c r="G86" s="1">
        <v>9.9795039771869695E-2</v>
      </c>
      <c r="H86" s="1">
        <v>56.9683104306459</v>
      </c>
      <c r="I86" s="1">
        <v>95.746255600824895</v>
      </c>
      <c r="J86" s="1">
        <v>7.2256340757012301E-4</v>
      </c>
      <c r="K86" s="1">
        <v>0.151</v>
      </c>
      <c r="L86" s="1">
        <v>0.36580000000000001</v>
      </c>
      <c r="M86" s="1">
        <v>0.35720000000000002</v>
      </c>
      <c r="N86">
        <v>6.7400000000000002E-2</v>
      </c>
      <c r="O86">
        <v>6.9599999999999995E-2</v>
      </c>
      <c r="P86">
        <v>8.14E-2</v>
      </c>
      <c r="Q86">
        <v>7.6799999999999993E-2</v>
      </c>
      <c r="R86">
        <f t="shared" si="5"/>
        <v>-1.8299999999999996</v>
      </c>
      <c r="S86">
        <f t="shared" si="6"/>
        <v>-1.6100000000000003</v>
      </c>
      <c r="T86">
        <f t="shared" si="7"/>
        <v>-0.42999999999999983</v>
      </c>
      <c r="U86">
        <f t="shared" si="8"/>
        <v>-0.89000000000000046</v>
      </c>
    </row>
    <row r="87" spans="1:21" x14ac:dyDescent="0.2">
      <c r="A87" s="1" t="s">
        <v>111</v>
      </c>
      <c r="B87" s="1">
        <v>21</v>
      </c>
      <c r="C87" s="1" t="s">
        <v>113</v>
      </c>
      <c r="D87" s="1">
        <v>1</v>
      </c>
      <c r="E87" s="1">
        <v>33.074030220974201</v>
      </c>
      <c r="F87" s="1">
        <v>1.85206396784633</v>
      </c>
      <c r="G87" s="1">
        <v>9.9795039771869695E-2</v>
      </c>
      <c r="H87" s="1">
        <v>56.9683104306459</v>
      </c>
      <c r="I87" s="1">
        <v>95.746255600824895</v>
      </c>
      <c r="J87" s="1">
        <v>7.2256340757012301E-4</v>
      </c>
      <c r="K87" s="1">
        <v>0.2147</v>
      </c>
      <c r="L87" s="1">
        <v>0.52490000000000003</v>
      </c>
      <c r="M87" s="1">
        <v>0.3654</v>
      </c>
      <c r="N87">
        <v>6.9500000000000006E-2</v>
      </c>
      <c r="O87">
        <v>7.2900000000000006E-2</v>
      </c>
      <c r="P87">
        <v>7.9299999999999995E-2</v>
      </c>
      <c r="Q87">
        <v>7.3099999999999998E-2</v>
      </c>
      <c r="R87">
        <f t="shared" si="5"/>
        <v>-1.6199999999999992</v>
      </c>
      <c r="S87">
        <f t="shared" si="6"/>
        <v>-1.2799999999999991</v>
      </c>
      <c r="T87">
        <f t="shared" si="7"/>
        <v>-0.64000000000000024</v>
      </c>
      <c r="U87">
        <f t="shared" si="8"/>
        <v>-1.26</v>
      </c>
    </row>
    <row r="88" spans="1:21" x14ac:dyDescent="0.2">
      <c r="A88" s="1" t="s">
        <v>111</v>
      </c>
      <c r="B88" s="1">
        <v>21</v>
      </c>
      <c r="C88" s="1" t="s">
        <v>114</v>
      </c>
      <c r="D88" s="1">
        <v>1</v>
      </c>
      <c r="E88" s="1">
        <v>33.074030220974201</v>
      </c>
      <c r="F88" s="1">
        <v>1.85206396784633</v>
      </c>
      <c r="G88" s="1">
        <v>9.9795039771869695E-2</v>
      </c>
      <c r="H88" s="1">
        <v>56.9683104306459</v>
      </c>
      <c r="I88" s="1">
        <v>95.746255600824895</v>
      </c>
      <c r="J88" s="1">
        <v>7.2256340757012301E-4</v>
      </c>
      <c r="K88" s="1">
        <v>0.192</v>
      </c>
      <c r="L88" s="1">
        <v>0.45369999999999999</v>
      </c>
      <c r="M88" s="1">
        <v>0.34910000000000002</v>
      </c>
      <c r="N88">
        <v>8.4599999999999995E-2</v>
      </c>
      <c r="O88">
        <v>7.6300000000000007E-2</v>
      </c>
      <c r="P88">
        <v>0.10979999999999999</v>
      </c>
      <c r="Q88">
        <v>8.6699999999999999E-2</v>
      </c>
      <c r="R88">
        <f t="shared" si="5"/>
        <v>-0.11000000000000038</v>
      </c>
      <c r="S88">
        <f t="shared" si="6"/>
        <v>-0.93999999999999917</v>
      </c>
      <c r="T88">
        <f t="shared" si="7"/>
        <v>2.4099999999999997</v>
      </c>
      <c r="U88">
        <f t="shared" si="8"/>
        <v>0.10000000000000009</v>
      </c>
    </row>
    <row r="89" spans="1:21" x14ac:dyDescent="0.2">
      <c r="A89" s="1" t="s">
        <v>111</v>
      </c>
      <c r="B89" s="1">
        <v>21</v>
      </c>
      <c r="C89" s="1" t="s">
        <v>115</v>
      </c>
      <c r="D89" s="1">
        <v>1</v>
      </c>
      <c r="E89" s="1">
        <v>33.074030220974201</v>
      </c>
      <c r="F89" s="1">
        <v>1.85206396784633</v>
      </c>
      <c r="G89" s="1">
        <v>9.9795039771869695E-2</v>
      </c>
      <c r="H89" s="1">
        <v>56.9683104306459</v>
      </c>
      <c r="I89" s="1">
        <v>95.746255600824895</v>
      </c>
      <c r="J89" s="1">
        <v>7.2256340757012301E-4</v>
      </c>
      <c r="K89" s="1">
        <v>0.19969999999999999</v>
      </c>
      <c r="L89" s="1">
        <v>0.52510000000000001</v>
      </c>
      <c r="M89" s="1">
        <v>0.31709999999999999</v>
      </c>
      <c r="N89">
        <v>6.88E-2</v>
      </c>
      <c r="O89">
        <v>7.9600000000000004E-2</v>
      </c>
      <c r="P89">
        <v>8.2100000000000006E-2</v>
      </c>
      <c r="Q89">
        <v>7.1599999999999997E-2</v>
      </c>
      <c r="R89">
        <f t="shared" si="5"/>
        <v>-1.6899999999999997</v>
      </c>
      <c r="S89">
        <f t="shared" si="6"/>
        <v>-0.60999999999999943</v>
      </c>
      <c r="T89">
        <f t="shared" si="7"/>
        <v>-0.35999999999999921</v>
      </c>
      <c r="U89">
        <f t="shared" si="8"/>
        <v>-1.4100000000000001</v>
      </c>
    </row>
    <row r="90" spans="1:21" x14ac:dyDescent="0.2">
      <c r="A90" s="1" t="s">
        <v>116</v>
      </c>
      <c r="B90" s="1">
        <v>22</v>
      </c>
      <c r="C90" s="1" t="s">
        <v>117</v>
      </c>
      <c r="D90" s="1">
        <v>1</v>
      </c>
      <c r="E90" s="1">
        <v>47.099800277035598</v>
      </c>
      <c r="F90" s="1">
        <v>74.186567970551494</v>
      </c>
      <c r="G90" s="1">
        <v>1.82633389744907E-2</v>
      </c>
      <c r="H90" s="1">
        <v>103.751841845363</v>
      </c>
      <c r="I90" s="1">
        <v>105.44472014531399</v>
      </c>
      <c r="J90" s="1">
        <v>7.01183744147419E-4</v>
      </c>
      <c r="K90" s="1">
        <v>0.1057</v>
      </c>
      <c r="L90" s="1">
        <v>8.1100000000000005E-2</v>
      </c>
      <c r="M90" s="1">
        <v>0.14349999999999999</v>
      </c>
      <c r="N90">
        <v>6.4399999999999999E-2</v>
      </c>
      <c r="O90">
        <v>6.54E-2</v>
      </c>
      <c r="P90">
        <v>0.1051</v>
      </c>
      <c r="Q90">
        <v>7.8899999999999998E-2</v>
      </c>
      <c r="R90">
        <f t="shared" si="5"/>
        <v>-2.13</v>
      </c>
      <c r="S90">
        <f t="shared" si="6"/>
        <v>-2.0299999999999998</v>
      </c>
      <c r="T90">
        <f t="shared" si="7"/>
        <v>1.94</v>
      </c>
      <c r="U90">
        <f t="shared" si="8"/>
        <v>-0.68</v>
      </c>
    </row>
    <row r="91" spans="1:21" x14ac:dyDescent="0.2">
      <c r="A91" s="1" t="s">
        <v>116</v>
      </c>
      <c r="B91" s="1">
        <v>22</v>
      </c>
      <c r="C91" s="1" t="s">
        <v>118</v>
      </c>
      <c r="D91" s="1">
        <v>1</v>
      </c>
      <c r="E91" s="1">
        <v>47.099800277035598</v>
      </c>
      <c r="F91" s="1">
        <v>74.186567970551494</v>
      </c>
      <c r="G91" s="1">
        <v>1.82633389744907E-2</v>
      </c>
      <c r="H91" s="1">
        <v>103.751841845363</v>
      </c>
      <c r="I91" s="1">
        <v>105.44472014531399</v>
      </c>
      <c r="J91" s="1">
        <v>7.01183744147419E-4</v>
      </c>
      <c r="K91" s="1">
        <v>0.1153</v>
      </c>
      <c r="L91" s="1">
        <v>0.18640000000000001</v>
      </c>
      <c r="M91" s="1">
        <v>0.1404</v>
      </c>
      <c r="N91">
        <v>6.7599999999999993E-2</v>
      </c>
      <c r="O91">
        <v>6.9500000000000006E-2</v>
      </c>
      <c r="P91">
        <v>8.6900000000000005E-2</v>
      </c>
      <c r="Q91">
        <v>8.3500000000000005E-2</v>
      </c>
      <c r="R91">
        <f t="shared" si="5"/>
        <v>-1.8100000000000005</v>
      </c>
      <c r="S91">
        <f t="shared" si="6"/>
        <v>-1.6199999999999992</v>
      </c>
      <c r="T91">
        <f t="shared" si="7"/>
        <v>0.12000000000000066</v>
      </c>
      <c r="U91">
        <f t="shared" si="8"/>
        <v>-0.21999999999999936</v>
      </c>
    </row>
    <row r="92" spans="1:21" x14ac:dyDescent="0.2">
      <c r="A92" s="1" t="s">
        <v>116</v>
      </c>
      <c r="B92" s="1">
        <v>22</v>
      </c>
      <c r="C92" s="1" t="s">
        <v>119</v>
      </c>
      <c r="D92" s="1">
        <v>1</v>
      </c>
      <c r="E92" s="1">
        <v>47.099800277035598</v>
      </c>
      <c r="F92" s="1">
        <v>74.186567970551494</v>
      </c>
      <c r="G92" s="1">
        <v>1.82633389744907E-2</v>
      </c>
      <c r="H92" s="1">
        <v>103.751841845363</v>
      </c>
      <c r="I92" s="1">
        <v>105.44472014531399</v>
      </c>
      <c r="J92" s="1">
        <v>7.01183744147419E-4</v>
      </c>
      <c r="K92" s="1">
        <v>0.1232</v>
      </c>
      <c r="L92" s="1">
        <v>0.17549999999999999</v>
      </c>
      <c r="M92" s="1">
        <v>0.16669999999999999</v>
      </c>
      <c r="N92">
        <v>8.7300000000000003E-2</v>
      </c>
      <c r="O92">
        <v>7.3499999999999996E-2</v>
      </c>
      <c r="P92">
        <v>9.4100000000000003E-2</v>
      </c>
      <c r="Q92">
        <v>9.4299999999999995E-2</v>
      </c>
      <c r="R92">
        <f t="shared" si="5"/>
        <v>0.16000000000000042</v>
      </c>
      <c r="S92">
        <f t="shared" si="6"/>
        <v>-1.2200000000000002</v>
      </c>
      <c r="T92">
        <f t="shared" si="7"/>
        <v>0.84000000000000041</v>
      </c>
      <c r="U92">
        <f t="shared" si="8"/>
        <v>0.85999999999999965</v>
      </c>
    </row>
    <row r="93" spans="1:21" x14ac:dyDescent="0.2">
      <c r="A93" s="1" t="s">
        <v>116</v>
      </c>
      <c r="B93" s="1">
        <v>22</v>
      </c>
      <c r="C93" s="1" t="s">
        <v>120</v>
      </c>
      <c r="D93" s="1">
        <v>1</v>
      </c>
      <c r="E93" s="1">
        <v>47.099800277035598</v>
      </c>
      <c r="F93" s="1">
        <v>74.186567970551494</v>
      </c>
      <c r="G93" s="1">
        <v>1.82633389744907E-2</v>
      </c>
      <c r="H93" s="1">
        <v>103.751841845363</v>
      </c>
      <c r="I93" s="1">
        <v>105.44472014531399</v>
      </c>
      <c r="J93" s="1">
        <v>7.01183744147419E-4</v>
      </c>
      <c r="K93" s="1">
        <v>0.1206</v>
      </c>
      <c r="L93" s="1">
        <v>0.17899999999999999</v>
      </c>
      <c r="M93" s="1">
        <v>0.15479999999999999</v>
      </c>
      <c r="N93">
        <v>8.2000000000000003E-2</v>
      </c>
      <c r="O93">
        <v>9.3600000000000003E-2</v>
      </c>
      <c r="P93">
        <v>0.2661</v>
      </c>
      <c r="Q93">
        <v>8.1000000000000003E-2</v>
      </c>
      <c r="R93">
        <f t="shared" si="5"/>
        <v>-0.3699999999999995</v>
      </c>
      <c r="S93">
        <f t="shared" si="6"/>
        <v>0.79000000000000037</v>
      </c>
      <c r="T93">
        <f t="shared" si="7"/>
        <v>18.04</v>
      </c>
      <c r="U93">
        <f t="shared" si="8"/>
        <v>-0.46999999999999958</v>
      </c>
    </row>
    <row r="94" spans="1:21" x14ac:dyDescent="0.2">
      <c r="A94" s="1" t="s">
        <v>121</v>
      </c>
      <c r="B94" s="1">
        <v>23</v>
      </c>
      <c r="C94" s="1" t="s">
        <v>122</v>
      </c>
      <c r="D94" s="1">
        <v>1</v>
      </c>
      <c r="E94" s="1">
        <v>15.193351293914001</v>
      </c>
      <c r="F94" s="1">
        <v>50.6803980441764</v>
      </c>
      <c r="G94" s="1">
        <v>1.5697079475223998E-2</v>
      </c>
      <c r="H94" s="1">
        <v>36.8717679485678</v>
      </c>
      <c r="I94" s="1">
        <v>109.78890612255699</v>
      </c>
      <c r="J94" s="1">
        <v>1.2585004133637899E-3</v>
      </c>
      <c r="K94" s="1">
        <v>0.127</v>
      </c>
      <c r="L94" s="1">
        <v>0.51549999999999996</v>
      </c>
      <c r="M94" s="1">
        <v>0.2283</v>
      </c>
      <c r="N94">
        <v>6.6000000000000003E-2</v>
      </c>
      <c r="O94">
        <v>6.7000000000000004E-2</v>
      </c>
      <c r="P94">
        <v>6.9900000000000004E-2</v>
      </c>
      <c r="Q94">
        <v>9.35E-2</v>
      </c>
      <c r="R94">
        <f t="shared" si="5"/>
        <v>-1.9699999999999995</v>
      </c>
      <c r="S94">
        <f t="shared" si="6"/>
        <v>-1.8699999999999994</v>
      </c>
      <c r="T94">
        <f t="shared" si="7"/>
        <v>-1.5799999999999994</v>
      </c>
      <c r="U94">
        <f t="shared" si="8"/>
        <v>0.78000000000000014</v>
      </c>
    </row>
    <row r="95" spans="1:21" x14ac:dyDescent="0.2">
      <c r="A95" s="1" t="s">
        <v>121</v>
      </c>
      <c r="B95" s="1">
        <v>23</v>
      </c>
      <c r="C95" s="1" t="s">
        <v>123</v>
      </c>
      <c r="D95" s="1">
        <v>1</v>
      </c>
      <c r="E95" s="1">
        <v>15.193351293914001</v>
      </c>
      <c r="F95" s="1">
        <v>50.6803980441764</v>
      </c>
      <c r="G95" s="1">
        <v>1.5697079475223998E-2</v>
      </c>
      <c r="H95" s="1">
        <v>36.8717679485678</v>
      </c>
      <c r="I95" s="1">
        <v>109.78890612255699</v>
      </c>
      <c r="J95" s="1">
        <v>1.2585004133637899E-3</v>
      </c>
      <c r="K95" s="1">
        <v>0.1852</v>
      </c>
      <c r="L95" s="1">
        <v>0.30780000000000002</v>
      </c>
      <c r="M95" s="1">
        <v>0.2848</v>
      </c>
      <c r="N95">
        <v>7.22E-2</v>
      </c>
      <c r="O95">
        <v>7.4399999999999994E-2</v>
      </c>
      <c r="P95">
        <v>7.9299999999999995E-2</v>
      </c>
      <c r="Q95">
        <v>8.8099999999999998E-2</v>
      </c>
      <c r="R95">
        <f t="shared" si="5"/>
        <v>-1.3499999999999999</v>
      </c>
      <c r="S95">
        <f t="shared" si="6"/>
        <v>-1.1300000000000003</v>
      </c>
      <c r="T95">
        <f t="shared" si="7"/>
        <v>-0.64000000000000024</v>
      </c>
      <c r="U95">
        <f t="shared" si="8"/>
        <v>0.23999999999999994</v>
      </c>
    </row>
    <row r="96" spans="1:21" x14ac:dyDescent="0.2">
      <c r="A96" s="1" t="s">
        <v>121</v>
      </c>
      <c r="B96" s="1">
        <v>23</v>
      </c>
      <c r="C96" s="1" t="s">
        <v>124</v>
      </c>
      <c r="D96" s="1">
        <v>1</v>
      </c>
      <c r="E96" s="1">
        <v>15.193351293914001</v>
      </c>
      <c r="F96" s="1">
        <v>50.6803980441764</v>
      </c>
      <c r="G96" s="1">
        <v>1.5697079475223998E-2</v>
      </c>
      <c r="H96" s="1">
        <v>36.8717679485678</v>
      </c>
      <c r="I96" s="1">
        <v>109.78890612255699</v>
      </c>
      <c r="J96" s="1">
        <v>1.2585004133637899E-3</v>
      </c>
      <c r="K96" s="1">
        <v>0.19980000000000001</v>
      </c>
      <c r="L96" s="1">
        <v>0.30740000000000001</v>
      </c>
      <c r="M96" s="1">
        <v>0.2752</v>
      </c>
      <c r="N96">
        <v>8.0199999999999994E-2</v>
      </c>
      <c r="O96">
        <v>8.1900000000000001E-2</v>
      </c>
      <c r="P96">
        <v>8.9200000000000002E-2</v>
      </c>
      <c r="Q96">
        <v>9.7699999999999995E-2</v>
      </c>
      <c r="R96">
        <f t="shared" si="5"/>
        <v>-0.55000000000000049</v>
      </c>
      <c r="S96">
        <f t="shared" si="6"/>
        <v>-0.37999999999999978</v>
      </c>
      <c r="T96">
        <f t="shared" si="7"/>
        <v>0.35000000000000031</v>
      </c>
      <c r="U96">
        <f t="shared" si="8"/>
        <v>1.1999999999999997</v>
      </c>
    </row>
    <row r="97" spans="1:21" x14ac:dyDescent="0.2">
      <c r="A97" s="3" t="s">
        <v>121</v>
      </c>
      <c r="B97" s="3">
        <v>23</v>
      </c>
      <c r="C97" s="3" t="s">
        <v>125</v>
      </c>
      <c r="D97" s="1">
        <v>1</v>
      </c>
      <c r="E97" s="1">
        <v>15.193351293914001</v>
      </c>
      <c r="F97" s="1">
        <v>50.6803980441764</v>
      </c>
      <c r="G97" s="1">
        <v>1.5697079475223998E-2</v>
      </c>
      <c r="H97" s="1">
        <v>36.8717679485678</v>
      </c>
      <c r="I97" s="1">
        <v>109.78890612255699</v>
      </c>
      <c r="J97" s="1">
        <v>1.2585004133637899E-3</v>
      </c>
      <c r="K97" s="1">
        <v>0.1981</v>
      </c>
      <c r="L97" s="1">
        <v>0.3543</v>
      </c>
      <c r="M97" s="1">
        <v>0.30230000000000001</v>
      </c>
      <c r="N97">
        <v>7.0000000000000007E-2</v>
      </c>
      <c r="O97">
        <v>6.6299999999999998E-2</v>
      </c>
      <c r="P97">
        <v>8.2100000000000006E-2</v>
      </c>
      <c r="Q97">
        <v>8.0399999999999999E-2</v>
      </c>
      <c r="R97">
        <f t="shared" si="5"/>
        <v>-1.5699999999999992</v>
      </c>
      <c r="S97">
        <f t="shared" si="6"/>
        <v>-1.94</v>
      </c>
      <c r="T97">
        <f t="shared" si="7"/>
        <v>-0.35999999999999921</v>
      </c>
      <c r="U97">
        <f t="shared" si="8"/>
        <v>-0.52999999999999992</v>
      </c>
    </row>
    <row r="98" spans="1:21" x14ac:dyDescent="0.2">
      <c r="A98" s="1" t="s">
        <v>179</v>
      </c>
      <c r="B98" s="1">
        <v>0</v>
      </c>
      <c r="C98" s="1" t="s">
        <v>7</v>
      </c>
      <c r="D98" s="1">
        <v>2</v>
      </c>
      <c r="E98" s="1">
        <v>25</v>
      </c>
      <c r="F98" s="1">
        <v>50</v>
      </c>
      <c r="G98" s="1">
        <v>1E-3</v>
      </c>
      <c r="H98" s="1">
        <v>15</v>
      </c>
      <c r="I98" s="1">
        <v>125</v>
      </c>
      <c r="J98" s="1">
        <v>1E-3</v>
      </c>
      <c r="K98" s="2">
        <v>0.16880000000000001</v>
      </c>
      <c r="L98" s="1">
        <v>0.49930000000000002</v>
      </c>
      <c r="M98" s="1">
        <v>0.3095</v>
      </c>
      <c r="N98">
        <v>6.2600000000000003E-2</v>
      </c>
      <c r="O98">
        <v>5.8000000000000003E-2</v>
      </c>
      <c r="P98">
        <v>6.3299999999999995E-2</v>
      </c>
      <c r="Q98">
        <v>9.0399999999999994E-2</v>
      </c>
      <c r="R98">
        <f t="shared" si="5"/>
        <v>-2.3099999999999996</v>
      </c>
      <c r="S98">
        <f t="shared" si="6"/>
        <v>-2.7699999999999996</v>
      </c>
      <c r="T98">
        <f t="shared" si="7"/>
        <v>-2.2400000000000002</v>
      </c>
      <c r="U98">
        <f t="shared" si="8"/>
        <v>0.46999999999999958</v>
      </c>
    </row>
    <row r="99" spans="1:21" x14ac:dyDescent="0.2">
      <c r="A99" s="1" t="s">
        <v>179</v>
      </c>
      <c r="B99" s="1">
        <v>0</v>
      </c>
      <c r="C99" s="1" t="s">
        <v>8</v>
      </c>
      <c r="D99" s="1">
        <v>2</v>
      </c>
      <c r="E99" s="1">
        <v>25</v>
      </c>
      <c r="F99" s="1">
        <v>50</v>
      </c>
      <c r="G99" s="1">
        <v>1E-3</v>
      </c>
      <c r="H99" s="1">
        <v>15</v>
      </c>
      <c r="I99" s="1">
        <v>125</v>
      </c>
      <c r="J99" s="1">
        <v>1E-3</v>
      </c>
      <c r="K99" s="2">
        <v>0.1148</v>
      </c>
      <c r="L99" s="1">
        <v>0.1331</v>
      </c>
      <c r="M99" s="1">
        <v>0.28560000000000002</v>
      </c>
      <c r="N99">
        <v>6.1100000000000002E-2</v>
      </c>
      <c r="O99">
        <v>9.3299999999999994E-2</v>
      </c>
      <c r="P99">
        <v>6.6100000000000006E-2</v>
      </c>
      <c r="Q99">
        <v>0.1052</v>
      </c>
      <c r="R99">
        <f t="shared" si="5"/>
        <v>-2.4599999999999995</v>
      </c>
      <c r="S99">
        <f t="shared" si="6"/>
        <v>0.75999999999999956</v>
      </c>
      <c r="T99">
        <f t="shared" si="7"/>
        <v>-1.9599999999999993</v>
      </c>
      <c r="U99">
        <f t="shared" si="8"/>
        <v>1.9500000000000004</v>
      </c>
    </row>
    <row r="100" spans="1:21" x14ac:dyDescent="0.2">
      <c r="A100" s="1" t="s">
        <v>179</v>
      </c>
      <c r="B100" s="1">
        <v>0</v>
      </c>
      <c r="C100" s="1" t="s">
        <v>9</v>
      </c>
      <c r="D100" s="1">
        <v>2</v>
      </c>
      <c r="E100" s="1">
        <v>25</v>
      </c>
      <c r="F100" s="1">
        <v>50</v>
      </c>
      <c r="G100" s="1">
        <v>1E-3</v>
      </c>
      <c r="H100" s="1">
        <v>15</v>
      </c>
      <c r="I100" s="1">
        <v>125</v>
      </c>
      <c r="J100" s="1">
        <v>1E-3</v>
      </c>
      <c r="K100" s="2">
        <v>0.13150000000000001</v>
      </c>
      <c r="L100" s="1">
        <v>0.12379999999999999</v>
      </c>
      <c r="M100" s="1">
        <v>0.29709999999999998</v>
      </c>
      <c r="N100">
        <v>6.5799999999999997E-2</v>
      </c>
      <c r="O100">
        <v>0.06</v>
      </c>
      <c r="P100">
        <v>7.1900000000000006E-2</v>
      </c>
      <c r="Q100">
        <v>9.01E-2</v>
      </c>
      <c r="R100">
        <f t="shared" si="5"/>
        <v>-1.99</v>
      </c>
      <c r="S100">
        <f t="shared" si="6"/>
        <v>-2.57</v>
      </c>
      <c r="T100">
        <f t="shared" si="7"/>
        <v>-1.3799999999999992</v>
      </c>
      <c r="U100">
        <f t="shared" si="8"/>
        <v>0.44000000000000011</v>
      </c>
    </row>
    <row r="101" spans="1:21" x14ac:dyDescent="0.2">
      <c r="A101" s="1" t="s">
        <v>179</v>
      </c>
      <c r="B101" s="1">
        <v>0</v>
      </c>
      <c r="C101" s="1" t="s">
        <v>10</v>
      </c>
      <c r="D101" s="1">
        <v>2</v>
      </c>
      <c r="E101" s="1">
        <v>25</v>
      </c>
      <c r="F101" s="1">
        <v>50</v>
      </c>
      <c r="G101" s="1">
        <v>1E-3</v>
      </c>
      <c r="H101" s="1">
        <v>15</v>
      </c>
      <c r="I101" s="1">
        <v>125</v>
      </c>
      <c r="J101" s="1">
        <v>1E-3</v>
      </c>
      <c r="K101" s="2">
        <v>0.13350000000000001</v>
      </c>
      <c r="L101" s="1">
        <v>0.1507</v>
      </c>
      <c r="M101" s="1">
        <v>0.31540000000000001</v>
      </c>
      <c r="N101">
        <v>7.1099999999999997E-2</v>
      </c>
      <c r="O101">
        <v>6.8900000000000003E-2</v>
      </c>
      <c r="P101">
        <v>8.0299999999999996E-2</v>
      </c>
      <c r="Q101">
        <v>9.5799999999999996E-2</v>
      </c>
      <c r="R101">
        <f t="shared" si="5"/>
        <v>-1.4600000000000002</v>
      </c>
      <c r="S101">
        <f t="shared" si="6"/>
        <v>-1.6799999999999995</v>
      </c>
      <c r="T101">
        <f t="shared" si="7"/>
        <v>-0.54000000000000015</v>
      </c>
      <c r="U101">
        <f t="shared" si="8"/>
        <v>1.0099999999999998</v>
      </c>
    </row>
    <row r="102" spans="1:21" x14ac:dyDescent="0.2">
      <c r="A102" s="1" t="s">
        <v>129</v>
      </c>
      <c r="B102" s="1">
        <v>24</v>
      </c>
      <c r="C102" s="1" t="s">
        <v>12</v>
      </c>
      <c r="D102" s="1">
        <v>2</v>
      </c>
      <c r="E102" s="1">
        <v>14.436907670926299</v>
      </c>
      <c r="F102" s="1">
        <v>60.936771862208801</v>
      </c>
      <c r="G102" s="1">
        <v>5.6644828807003701E-2</v>
      </c>
      <c r="H102" s="1">
        <v>135.02004260197199</v>
      </c>
      <c r="I102" s="1">
        <v>20.677809552289499</v>
      </c>
      <c r="J102" s="1">
        <v>3.5860760239884201E-4</v>
      </c>
      <c r="K102" s="2">
        <v>0.27450000000000002</v>
      </c>
      <c r="L102" s="1">
        <v>0.26529999999999998</v>
      </c>
      <c r="M102" s="1">
        <v>0.16109999999999999</v>
      </c>
      <c r="N102">
        <v>8.0699999999999994E-2</v>
      </c>
      <c r="O102">
        <v>7.6399999999999996E-2</v>
      </c>
      <c r="P102">
        <v>0.1043</v>
      </c>
      <c r="Q102">
        <v>0.1003</v>
      </c>
      <c r="R102">
        <f t="shared" si="5"/>
        <v>-0.50000000000000044</v>
      </c>
      <c r="S102">
        <f t="shared" si="6"/>
        <v>-0.93000000000000027</v>
      </c>
      <c r="T102">
        <f t="shared" si="7"/>
        <v>1.8600000000000005</v>
      </c>
      <c r="U102">
        <f t="shared" si="8"/>
        <v>1.4600000000000002</v>
      </c>
    </row>
    <row r="103" spans="1:21" x14ac:dyDescent="0.2">
      <c r="A103" s="1" t="s">
        <v>129</v>
      </c>
      <c r="B103" s="1">
        <v>24</v>
      </c>
      <c r="C103" s="1" t="s">
        <v>13</v>
      </c>
      <c r="D103" s="1">
        <v>2</v>
      </c>
      <c r="E103" s="1">
        <v>14.436907670926299</v>
      </c>
      <c r="F103" s="1">
        <v>60.936771862208801</v>
      </c>
      <c r="G103" s="1">
        <v>5.6644828807003701E-2</v>
      </c>
      <c r="H103" s="1">
        <v>135.02004260197199</v>
      </c>
      <c r="I103" s="1">
        <v>20.677809552289499</v>
      </c>
      <c r="J103" s="1">
        <v>3.5860760239884201E-4</v>
      </c>
      <c r="K103" s="2">
        <v>0.11310000000000001</v>
      </c>
      <c r="L103" s="1">
        <v>0.24940000000000001</v>
      </c>
      <c r="M103" s="1">
        <v>0.14410000000000001</v>
      </c>
      <c r="N103">
        <v>7.9600000000000004E-2</v>
      </c>
      <c r="O103">
        <v>7.6499999999999999E-2</v>
      </c>
      <c r="P103">
        <v>0.109</v>
      </c>
      <c r="Q103">
        <v>0.11119999999999999</v>
      </c>
      <c r="R103">
        <f t="shared" si="5"/>
        <v>-0.60999999999999943</v>
      </c>
      <c r="S103">
        <f t="shared" si="6"/>
        <v>-0.91999999999999993</v>
      </c>
      <c r="T103">
        <f t="shared" si="7"/>
        <v>2.33</v>
      </c>
      <c r="U103">
        <f t="shared" si="8"/>
        <v>2.5499999999999994</v>
      </c>
    </row>
    <row r="104" spans="1:21" x14ac:dyDescent="0.2">
      <c r="A104" s="1" t="s">
        <v>129</v>
      </c>
      <c r="B104" s="1">
        <v>24</v>
      </c>
      <c r="C104" s="1" t="s">
        <v>14</v>
      </c>
      <c r="D104" s="1">
        <v>2</v>
      </c>
      <c r="E104" s="1">
        <v>14.436907670926299</v>
      </c>
      <c r="F104" s="1">
        <v>60.936771862208801</v>
      </c>
      <c r="G104" s="1">
        <v>5.6644828807003701E-2</v>
      </c>
      <c r="H104" s="1">
        <v>135.02004260197199</v>
      </c>
      <c r="I104" s="1">
        <v>20.677809552289499</v>
      </c>
      <c r="J104" s="1">
        <v>3.5860760239884201E-4</v>
      </c>
      <c r="K104" s="2">
        <v>0.12540000000000001</v>
      </c>
      <c r="L104" s="1">
        <v>0.23799999999999999</v>
      </c>
      <c r="M104" s="1">
        <v>0.159</v>
      </c>
      <c r="N104">
        <v>8.6999999999999994E-2</v>
      </c>
      <c r="O104">
        <v>8.6400000000000005E-2</v>
      </c>
      <c r="P104">
        <v>0.1066</v>
      </c>
      <c r="Q104">
        <v>0.11169999999999999</v>
      </c>
      <c r="R104">
        <f t="shared" si="5"/>
        <v>0.12999999999999956</v>
      </c>
      <c r="S104">
        <f t="shared" si="6"/>
        <v>7.0000000000000617E-2</v>
      </c>
      <c r="T104">
        <f t="shared" si="7"/>
        <v>2.0900000000000003</v>
      </c>
      <c r="U104">
        <f t="shared" si="8"/>
        <v>2.5999999999999996</v>
      </c>
    </row>
    <row r="105" spans="1:21" x14ac:dyDescent="0.2">
      <c r="A105" s="1" t="s">
        <v>129</v>
      </c>
      <c r="B105" s="1">
        <v>24</v>
      </c>
      <c r="C105" s="1" t="s">
        <v>15</v>
      </c>
      <c r="D105" s="1">
        <v>2</v>
      </c>
      <c r="E105" s="1">
        <v>14.436907670926299</v>
      </c>
      <c r="F105" s="1">
        <v>60.936771862208801</v>
      </c>
      <c r="G105" s="1">
        <v>5.6644828807003701E-2</v>
      </c>
      <c r="H105" s="1">
        <v>135.02004260197199</v>
      </c>
      <c r="I105" s="1">
        <v>20.677809552289499</v>
      </c>
      <c r="J105" s="1">
        <v>3.5860760239884201E-4</v>
      </c>
      <c r="K105" s="2">
        <v>0.1255</v>
      </c>
      <c r="L105" s="1">
        <v>0.2616</v>
      </c>
      <c r="M105" s="1">
        <v>0.1525</v>
      </c>
      <c r="N105">
        <v>8.1199999999999994E-2</v>
      </c>
      <c r="O105">
        <v>7.7299999999999994E-2</v>
      </c>
      <c r="P105">
        <v>8.1000000000000003E-2</v>
      </c>
      <c r="Q105">
        <v>9.9299999999999999E-2</v>
      </c>
      <c r="R105">
        <f t="shared" si="5"/>
        <v>-0.4500000000000004</v>
      </c>
      <c r="S105">
        <f t="shared" si="6"/>
        <v>-0.84000000000000041</v>
      </c>
      <c r="T105">
        <f t="shared" si="7"/>
        <v>-0.46999999999999958</v>
      </c>
      <c r="U105">
        <f t="shared" si="8"/>
        <v>1.36</v>
      </c>
    </row>
    <row r="106" spans="1:21" x14ac:dyDescent="0.2">
      <c r="A106" s="1" t="s">
        <v>130</v>
      </c>
      <c r="B106" s="1">
        <v>25</v>
      </c>
      <c r="C106" s="1" t="s">
        <v>17</v>
      </c>
      <c r="D106" s="1">
        <v>2</v>
      </c>
      <c r="E106" s="1">
        <v>38.397056883201003</v>
      </c>
      <c r="F106" s="1">
        <v>42.777308979071599</v>
      </c>
      <c r="G106" s="1">
        <v>2.2849687706865299E-2</v>
      </c>
      <c r="H106" s="1">
        <v>140.50345539152599</v>
      </c>
      <c r="I106" s="1">
        <v>15.8303628768771</v>
      </c>
      <c r="J106" s="1">
        <v>2.8398542576469401E-4</v>
      </c>
      <c r="K106" s="2">
        <v>0.113</v>
      </c>
      <c r="L106" s="1">
        <v>0.21829999999999999</v>
      </c>
      <c r="M106" s="1">
        <v>0.16969999999999999</v>
      </c>
      <c r="N106">
        <v>7.3400000000000007E-2</v>
      </c>
      <c r="O106">
        <v>7.4300000000000005E-2</v>
      </c>
      <c r="P106">
        <v>8.2199999999999995E-2</v>
      </c>
      <c r="Q106">
        <v>8.6300000000000002E-2</v>
      </c>
      <c r="R106">
        <f t="shared" si="5"/>
        <v>-1.2299999999999991</v>
      </c>
      <c r="S106">
        <f t="shared" si="6"/>
        <v>-1.1399999999999992</v>
      </c>
      <c r="T106">
        <f t="shared" si="7"/>
        <v>-0.35000000000000031</v>
      </c>
      <c r="U106">
        <f t="shared" si="8"/>
        <v>6.0000000000000331E-2</v>
      </c>
    </row>
    <row r="107" spans="1:21" x14ac:dyDescent="0.2">
      <c r="A107" s="1" t="s">
        <v>130</v>
      </c>
      <c r="B107" s="1">
        <v>25</v>
      </c>
      <c r="C107" s="1" t="s">
        <v>18</v>
      </c>
      <c r="D107" s="1">
        <v>2</v>
      </c>
      <c r="E107" s="1">
        <v>38.397056883201003</v>
      </c>
      <c r="F107" s="1">
        <v>42.777308979071599</v>
      </c>
      <c r="G107" s="1">
        <v>2.2849687706865299E-2</v>
      </c>
      <c r="H107" s="1">
        <v>140.50345539152599</v>
      </c>
      <c r="I107" s="1">
        <v>15.8303628768771</v>
      </c>
      <c r="J107" s="1">
        <v>2.8398542576469401E-4</v>
      </c>
      <c r="K107" s="2">
        <v>0.1144</v>
      </c>
      <c r="L107" s="1">
        <v>0.21279999999999999</v>
      </c>
      <c r="M107" s="1">
        <v>0.13850000000000001</v>
      </c>
      <c r="N107">
        <v>7.5300000000000006E-2</v>
      </c>
      <c r="O107">
        <v>8.2400000000000001E-2</v>
      </c>
      <c r="P107">
        <v>7.9000000000000001E-2</v>
      </c>
      <c r="Q107">
        <v>5.9900000000000002E-2</v>
      </c>
      <c r="R107">
        <f t="shared" si="5"/>
        <v>-1.0399999999999991</v>
      </c>
      <c r="S107">
        <f t="shared" si="6"/>
        <v>-0.32999999999999974</v>
      </c>
      <c r="T107">
        <f t="shared" si="7"/>
        <v>-0.66999999999999971</v>
      </c>
      <c r="U107">
        <f t="shared" si="8"/>
        <v>-2.5799999999999996</v>
      </c>
    </row>
    <row r="108" spans="1:21" x14ac:dyDescent="0.2">
      <c r="A108" s="1" t="s">
        <v>130</v>
      </c>
      <c r="B108" s="1">
        <v>25</v>
      </c>
      <c r="C108" s="1" t="s">
        <v>19</v>
      </c>
      <c r="D108" s="1">
        <v>2</v>
      </c>
      <c r="E108" s="1">
        <v>38.397056883201003</v>
      </c>
      <c r="F108" s="1">
        <v>42.777308979071599</v>
      </c>
      <c r="G108" s="1">
        <v>2.2849687706865299E-2</v>
      </c>
      <c r="H108" s="1">
        <v>140.50345539152599</v>
      </c>
      <c r="I108" s="1">
        <v>15.8303628768771</v>
      </c>
      <c r="J108" s="1">
        <v>2.8398542576469401E-4</v>
      </c>
      <c r="K108" s="2">
        <v>0.4299</v>
      </c>
      <c r="L108" s="1">
        <v>0.23039999999999999</v>
      </c>
      <c r="M108" s="1">
        <v>0.39829999999999999</v>
      </c>
      <c r="N108">
        <v>8.0699999999999994E-2</v>
      </c>
      <c r="O108">
        <v>8.7900000000000006E-2</v>
      </c>
      <c r="P108">
        <v>9.5899999999999999E-2</v>
      </c>
      <c r="Q108">
        <v>8.7099999999999997E-2</v>
      </c>
      <c r="R108">
        <f t="shared" si="5"/>
        <v>-0.50000000000000044</v>
      </c>
      <c r="S108">
        <f t="shared" si="6"/>
        <v>0.22000000000000075</v>
      </c>
      <c r="T108">
        <f t="shared" si="7"/>
        <v>1.02</v>
      </c>
      <c r="U108">
        <f t="shared" si="8"/>
        <v>0.13999999999999985</v>
      </c>
    </row>
    <row r="109" spans="1:21" x14ac:dyDescent="0.2">
      <c r="A109" s="1" t="s">
        <v>130</v>
      </c>
      <c r="B109" s="1">
        <v>25</v>
      </c>
      <c r="C109" s="1" t="s">
        <v>20</v>
      </c>
      <c r="D109" s="1">
        <v>2</v>
      </c>
      <c r="E109" s="1">
        <v>38.397056883201003</v>
      </c>
      <c r="F109" s="1">
        <v>42.777308979071599</v>
      </c>
      <c r="G109" s="1">
        <v>2.2849687706865299E-2</v>
      </c>
      <c r="H109" s="1">
        <v>140.50345539152599</v>
      </c>
      <c r="I109" s="1">
        <v>15.8303628768771</v>
      </c>
      <c r="J109" s="1">
        <v>2.8398542576469401E-4</v>
      </c>
      <c r="K109" s="2">
        <v>0.13109999999999999</v>
      </c>
      <c r="L109" s="1">
        <v>0.2319</v>
      </c>
      <c r="M109" s="1">
        <v>0.95860000000000001</v>
      </c>
      <c r="N109">
        <v>8.7499999999999994E-2</v>
      </c>
      <c r="O109">
        <v>9.3399999999999997E-2</v>
      </c>
      <c r="P109">
        <v>0.10929999999999999</v>
      </c>
      <c r="Q109">
        <v>8.3400000000000002E-2</v>
      </c>
      <c r="R109">
        <f t="shared" si="5"/>
        <v>0.1799999999999996</v>
      </c>
      <c r="S109">
        <f t="shared" si="6"/>
        <v>0.7699999999999998</v>
      </c>
      <c r="T109">
        <f t="shared" si="7"/>
        <v>2.3599999999999994</v>
      </c>
      <c r="U109">
        <f t="shared" si="8"/>
        <v>-0.22999999999999965</v>
      </c>
    </row>
    <row r="110" spans="1:21" x14ac:dyDescent="0.2">
      <c r="A110" s="1" t="s">
        <v>131</v>
      </c>
      <c r="B110" s="1">
        <v>26</v>
      </c>
      <c r="C110" s="1" t="s">
        <v>22</v>
      </c>
      <c r="D110" s="1">
        <v>2</v>
      </c>
      <c r="E110" s="1">
        <v>16.577036125119701</v>
      </c>
      <c r="F110" s="1">
        <v>42.242316004820097</v>
      </c>
      <c r="G110" s="1">
        <v>7.0111116413026995E-4</v>
      </c>
      <c r="H110" s="1">
        <v>74.346893844008406</v>
      </c>
      <c r="I110" s="1">
        <v>62.273161914199498</v>
      </c>
      <c r="J110" s="1">
        <v>2.66505296193063E-3</v>
      </c>
      <c r="K110" s="2">
        <v>0.159</v>
      </c>
      <c r="L110" s="1">
        <v>0.26779999999999998</v>
      </c>
      <c r="M110" s="1">
        <v>0.1221</v>
      </c>
      <c r="N110">
        <v>7.7899999999999997E-2</v>
      </c>
      <c r="O110">
        <v>6.9900000000000004E-2</v>
      </c>
      <c r="P110">
        <v>8.2000000000000003E-2</v>
      </c>
      <c r="Q110">
        <v>8.9099999999999999E-2</v>
      </c>
      <c r="R110">
        <f t="shared" si="5"/>
        <v>-0.78000000000000014</v>
      </c>
      <c r="S110">
        <f t="shared" si="6"/>
        <v>-1.5799999999999994</v>
      </c>
      <c r="T110">
        <f t="shared" si="7"/>
        <v>-0.3699999999999995</v>
      </c>
      <c r="U110">
        <f t="shared" si="8"/>
        <v>0.34</v>
      </c>
    </row>
    <row r="111" spans="1:21" x14ac:dyDescent="0.2">
      <c r="A111" s="1" t="s">
        <v>131</v>
      </c>
      <c r="B111" s="1">
        <v>26</v>
      </c>
      <c r="C111" s="1" t="s">
        <v>23</v>
      </c>
      <c r="D111" s="1">
        <v>2</v>
      </c>
      <c r="E111" s="1">
        <v>16.577036125119701</v>
      </c>
      <c r="F111" s="1">
        <v>42.242316004820097</v>
      </c>
      <c r="G111" s="1">
        <v>7.0111116413026995E-4</v>
      </c>
      <c r="H111" s="1">
        <v>74.346893844008406</v>
      </c>
      <c r="I111" s="1">
        <v>62.273161914199498</v>
      </c>
      <c r="J111" s="1">
        <v>2.66505296193063E-3</v>
      </c>
      <c r="K111" s="2">
        <v>0.37030000000000002</v>
      </c>
      <c r="L111" s="1">
        <v>0.26169999999999999</v>
      </c>
      <c r="M111" s="1">
        <v>0.1278</v>
      </c>
      <c r="N111">
        <v>7.7600000000000002E-2</v>
      </c>
      <c r="O111">
        <v>8.3699999999999997E-2</v>
      </c>
      <c r="P111">
        <v>8.5699999999999998E-2</v>
      </c>
      <c r="Q111">
        <v>9.64E-2</v>
      </c>
      <c r="R111">
        <f t="shared" si="5"/>
        <v>-0.80999999999999961</v>
      </c>
      <c r="S111">
        <f t="shared" si="6"/>
        <v>-0.20000000000000018</v>
      </c>
      <c r="T111">
        <f t="shared" si="7"/>
        <v>0</v>
      </c>
      <c r="U111">
        <f t="shared" si="8"/>
        <v>1.07</v>
      </c>
    </row>
    <row r="112" spans="1:21" x14ac:dyDescent="0.2">
      <c r="A112" s="1" t="s">
        <v>131</v>
      </c>
      <c r="B112" s="1">
        <v>26</v>
      </c>
      <c r="C112" s="1" t="s">
        <v>24</v>
      </c>
      <c r="D112" s="1">
        <v>2</v>
      </c>
      <c r="E112" s="1">
        <v>16.577036125119701</v>
      </c>
      <c r="F112" s="1">
        <v>42.242316004820097</v>
      </c>
      <c r="G112" s="1">
        <v>7.0111116413026995E-4</v>
      </c>
      <c r="H112" s="1">
        <v>74.346893844008406</v>
      </c>
      <c r="I112" s="1">
        <v>62.273161914199498</v>
      </c>
      <c r="J112" s="1">
        <v>2.66505296193063E-3</v>
      </c>
      <c r="K112" s="2">
        <v>0.1704</v>
      </c>
      <c r="L112" s="1">
        <v>0.2412</v>
      </c>
      <c r="M112" s="1">
        <v>0.1434</v>
      </c>
      <c r="N112">
        <v>9.1399999999999995E-2</v>
      </c>
      <c r="O112">
        <v>8.3000000000000004E-2</v>
      </c>
      <c r="P112">
        <v>9.2700000000000005E-2</v>
      </c>
      <c r="Q112">
        <v>0.1095</v>
      </c>
      <c r="R112">
        <f t="shared" si="5"/>
        <v>0.56999999999999962</v>
      </c>
      <c r="S112">
        <f t="shared" si="6"/>
        <v>-0.26999999999999941</v>
      </c>
      <c r="T112">
        <f t="shared" si="7"/>
        <v>0.70000000000000062</v>
      </c>
      <c r="U112">
        <f t="shared" si="8"/>
        <v>2.3800000000000003</v>
      </c>
    </row>
    <row r="113" spans="1:21" x14ac:dyDescent="0.2">
      <c r="A113" s="1" t="s">
        <v>131</v>
      </c>
      <c r="B113" s="1">
        <v>26</v>
      </c>
      <c r="C113" s="1" t="s">
        <v>25</v>
      </c>
      <c r="D113" s="1">
        <v>2</v>
      </c>
      <c r="E113" s="1">
        <v>16.577036125119701</v>
      </c>
      <c r="F113" s="1">
        <v>42.242316004820097</v>
      </c>
      <c r="G113" s="1">
        <v>7.0111116413026995E-4</v>
      </c>
      <c r="H113" s="1">
        <v>74.346893844008406</v>
      </c>
      <c r="I113" s="1">
        <v>62.273161914199498</v>
      </c>
      <c r="J113" s="1">
        <v>2.66505296193063E-3</v>
      </c>
      <c r="K113" s="2">
        <v>0.15060000000000001</v>
      </c>
      <c r="L113" s="1">
        <v>0.2329</v>
      </c>
      <c r="M113" s="1">
        <v>0.13439999999999999</v>
      </c>
      <c r="N113">
        <v>7.7100000000000002E-2</v>
      </c>
      <c r="O113">
        <v>6.9599999999999995E-2</v>
      </c>
      <c r="P113">
        <v>7.6200000000000004E-2</v>
      </c>
      <c r="Q113">
        <v>9.9699999999999997E-2</v>
      </c>
      <c r="R113">
        <f t="shared" si="5"/>
        <v>-0.85999999999999965</v>
      </c>
      <c r="S113">
        <f t="shared" si="6"/>
        <v>-1.6100000000000003</v>
      </c>
      <c r="T113">
        <f t="shared" si="7"/>
        <v>-0.9499999999999994</v>
      </c>
      <c r="U113">
        <f t="shared" si="8"/>
        <v>1.4</v>
      </c>
    </row>
    <row r="114" spans="1:21" x14ac:dyDescent="0.2">
      <c r="A114" s="1" t="s">
        <v>132</v>
      </c>
      <c r="B114" s="1">
        <v>27</v>
      </c>
      <c r="C114" s="1" t="s">
        <v>27</v>
      </c>
      <c r="D114" s="1">
        <v>2</v>
      </c>
      <c r="E114" s="1">
        <v>18.047903578728398</v>
      </c>
      <c r="F114" s="1">
        <v>11.9481279281899</v>
      </c>
      <c r="G114" s="1">
        <v>7.7902521632239194E-2</v>
      </c>
      <c r="H114" s="1">
        <v>1.6900243811309299</v>
      </c>
      <c r="I114" s="1">
        <v>70.089846909977496</v>
      </c>
      <c r="J114" s="1">
        <v>2.1700285950675604E-3</v>
      </c>
      <c r="K114" s="2">
        <v>0.13969999999999999</v>
      </c>
      <c r="L114" s="1">
        <v>0.158</v>
      </c>
      <c r="M114" s="1">
        <v>0.2482</v>
      </c>
      <c r="N114">
        <v>5.2999999999999999E-2</v>
      </c>
      <c r="O114">
        <v>5.0799999999999998E-2</v>
      </c>
      <c r="P114">
        <v>6.6500000000000004E-2</v>
      </c>
      <c r="Q114">
        <v>7.8600000000000003E-2</v>
      </c>
      <c r="R114">
        <f t="shared" si="5"/>
        <v>-3.27</v>
      </c>
      <c r="S114">
        <f t="shared" si="6"/>
        <v>-3.4899999999999998</v>
      </c>
      <c r="T114">
        <f t="shared" si="7"/>
        <v>-1.9199999999999995</v>
      </c>
      <c r="U114">
        <f t="shared" si="8"/>
        <v>-0.70999999999999952</v>
      </c>
    </row>
    <row r="115" spans="1:21" x14ac:dyDescent="0.2">
      <c r="A115" s="1" t="s">
        <v>132</v>
      </c>
      <c r="B115" s="1">
        <v>27</v>
      </c>
      <c r="C115" s="1" t="s">
        <v>28</v>
      </c>
      <c r="D115" s="1">
        <v>2</v>
      </c>
      <c r="E115" s="1">
        <v>18.047903578728398</v>
      </c>
      <c r="F115" s="1">
        <v>11.9481279281899</v>
      </c>
      <c r="G115" s="1">
        <v>7.7902521632239194E-2</v>
      </c>
      <c r="H115" s="1">
        <v>1.6900243811309299</v>
      </c>
      <c r="I115" s="1">
        <v>70.089846909977496</v>
      </c>
      <c r="J115" s="1">
        <v>2.1700285950675604E-3</v>
      </c>
      <c r="K115" s="2">
        <v>0.1356</v>
      </c>
      <c r="L115" s="1">
        <v>0.1333</v>
      </c>
      <c r="M115" s="1">
        <v>0.23400000000000001</v>
      </c>
      <c r="N115">
        <v>5.91E-2</v>
      </c>
      <c r="O115">
        <v>5.9400000000000001E-2</v>
      </c>
      <c r="P115">
        <v>5.9900000000000002E-2</v>
      </c>
      <c r="Q115">
        <v>5.3999999999999999E-2</v>
      </c>
      <c r="R115">
        <f t="shared" si="5"/>
        <v>-2.6599999999999997</v>
      </c>
      <c r="S115">
        <f t="shared" si="6"/>
        <v>-2.6299999999999994</v>
      </c>
      <c r="T115">
        <f t="shared" si="7"/>
        <v>-2.5799999999999996</v>
      </c>
      <c r="U115">
        <f t="shared" si="8"/>
        <v>-3.17</v>
      </c>
    </row>
    <row r="116" spans="1:21" x14ac:dyDescent="0.2">
      <c r="A116" s="1" t="s">
        <v>132</v>
      </c>
      <c r="B116" s="1">
        <v>27</v>
      </c>
      <c r="C116" s="1" t="s">
        <v>29</v>
      </c>
      <c r="D116" s="1">
        <v>2</v>
      </c>
      <c r="E116" s="1">
        <v>18.047903578728398</v>
      </c>
      <c r="F116" s="1">
        <v>11.9481279281899</v>
      </c>
      <c r="G116" s="1">
        <v>7.7902521632239194E-2</v>
      </c>
      <c r="H116" s="1">
        <v>1.6900243811309299</v>
      </c>
      <c r="I116" s="1">
        <v>70.089846909977496</v>
      </c>
      <c r="J116" s="1">
        <v>2.1700285950675604E-3</v>
      </c>
      <c r="K116" s="2">
        <v>0.1348</v>
      </c>
      <c r="L116" s="1">
        <v>0.12759999999999999</v>
      </c>
      <c r="M116" s="1">
        <v>0.19220000000000001</v>
      </c>
      <c r="N116">
        <v>6.6699999999999995E-2</v>
      </c>
      <c r="O116">
        <v>5.1299999999999998E-2</v>
      </c>
      <c r="P116">
        <v>0.16109999999999999</v>
      </c>
      <c r="Q116">
        <v>5.7299999999999997E-2</v>
      </c>
      <c r="R116">
        <f t="shared" si="5"/>
        <v>-1.9000000000000004</v>
      </c>
      <c r="S116">
        <f t="shared" si="6"/>
        <v>-3.44</v>
      </c>
      <c r="T116">
        <f t="shared" si="7"/>
        <v>7.5399999999999991</v>
      </c>
      <c r="U116">
        <f t="shared" si="8"/>
        <v>-2.8400000000000003</v>
      </c>
    </row>
    <row r="117" spans="1:21" x14ac:dyDescent="0.2">
      <c r="A117" s="1" t="s">
        <v>132</v>
      </c>
      <c r="B117" s="1">
        <v>27</v>
      </c>
      <c r="C117" s="1" t="s">
        <v>30</v>
      </c>
      <c r="D117" s="1">
        <v>2</v>
      </c>
      <c r="E117" s="1">
        <v>18.047903578728398</v>
      </c>
      <c r="F117" s="1">
        <v>11.9481279281899</v>
      </c>
      <c r="G117" s="1">
        <v>7.7902521632239194E-2</v>
      </c>
      <c r="H117" s="1">
        <v>1.6900243811309299</v>
      </c>
      <c r="I117" s="1">
        <v>70.089846909977496</v>
      </c>
      <c r="J117" s="1">
        <v>2.1700285950675604E-3</v>
      </c>
      <c r="K117" s="2">
        <v>0.25969999999999999</v>
      </c>
      <c r="L117" s="1">
        <v>0.28320000000000001</v>
      </c>
      <c r="M117" s="1">
        <v>0.1948</v>
      </c>
      <c r="N117">
        <v>6.8500000000000005E-2</v>
      </c>
      <c r="O117">
        <v>0.4924</v>
      </c>
      <c r="P117">
        <v>9.3100000000000002E-2</v>
      </c>
      <c r="Q117">
        <v>6.54E-2</v>
      </c>
      <c r="R117">
        <f t="shared" si="5"/>
        <v>-1.7199999999999993</v>
      </c>
      <c r="S117">
        <f t="shared" si="6"/>
        <v>40.67</v>
      </c>
      <c r="T117">
        <f t="shared" si="7"/>
        <v>0.74000000000000032</v>
      </c>
      <c r="U117">
        <f t="shared" si="8"/>
        <v>-2.0299999999999998</v>
      </c>
    </row>
    <row r="118" spans="1:21" x14ac:dyDescent="0.2">
      <c r="A118" s="1" t="s">
        <v>133</v>
      </c>
      <c r="B118" s="1">
        <v>28</v>
      </c>
      <c r="C118" s="1" t="s">
        <v>32</v>
      </c>
      <c r="D118" s="1">
        <v>2</v>
      </c>
      <c r="E118" s="1">
        <v>34.055538123939101</v>
      </c>
      <c r="F118" s="1">
        <v>68.348724434152203</v>
      </c>
      <c r="G118" s="1">
        <v>7.7274059958197097E-2</v>
      </c>
      <c r="H118" s="1">
        <v>123.92695672661</v>
      </c>
      <c r="I118" s="1">
        <v>97.412905683740902</v>
      </c>
      <c r="J118" s="1">
        <v>4.5208959270734306E-3</v>
      </c>
      <c r="K118" s="2">
        <v>0.1229</v>
      </c>
      <c r="L118" s="1">
        <v>0.21679999999999999</v>
      </c>
      <c r="M118" s="1">
        <v>0.2535</v>
      </c>
      <c r="N118">
        <v>8.1600000000000006E-2</v>
      </c>
      <c r="O118">
        <v>7.8700000000000006E-2</v>
      </c>
      <c r="P118">
        <v>8.1000000000000003E-2</v>
      </c>
      <c r="Q118">
        <v>7.6300000000000007E-2</v>
      </c>
      <c r="R118">
        <f t="shared" si="5"/>
        <v>-0.40999999999999925</v>
      </c>
      <c r="S118">
        <f t="shared" si="6"/>
        <v>-0.69999999999999918</v>
      </c>
      <c r="T118">
        <f t="shared" si="7"/>
        <v>-0.46999999999999958</v>
      </c>
      <c r="U118">
        <f t="shared" si="8"/>
        <v>-0.93999999999999917</v>
      </c>
    </row>
    <row r="119" spans="1:21" x14ac:dyDescent="0.2">
      <c r="A119" s="1" t="s">
        <v>133</v>
      </c>
      <c r="B119" s="1">
        <v>28</v>
      </c>
      <c r="C119" s="1" t="s">
        <v>33</v>
      </c>
      <c r="D119" s="1">
        <v>2</v>
      </c>
      <c r="E119" s="1">
        <v>34.055538123939101</v>
      </c>
      <c r="F119" s="1">
        <v>68.348724434152203</v>
      </c>
      <c r="G119" s="1">
        <v>7.7274059958197097E-2</v>
      </c>
      <c r="H119" s="1">
        <v>123.92695672661</v>
      </c>
      <c r="I119" s="1">
        <v>97.412905683740902</v>
      </c>
      <c r="J119" s="1">
        <v>4.5208959270734306E-3</v>
      </c>
      <c r="K119" s="2">
        <v>0.12479999999999999</v>
      </c>
      <c r="L119" s="1">
        <v>0.2097</v>
      </c>
      <c r="M119" s="1">
        <v>0.2</v>
      </c>
      <c r="N119">
        <v>8.1299999999999997E-2</v>
      </c>
      <c r="O119">
        <v>7.9699999999999993E-2</v>
      </c>
      <c r="P119">
        <v>9.1999999999999998E-2</v>
      </c>
      <c r="Q119">
        <v>8.2299999999999998E-2</v>
      </c>
      <c r="R119">
        <f t="shared" si="5"/>
        <v>-0.44000000000000011</v>
      </c>
      <c r="S119">
        <f t="shared" si="6"/>
        <v>-0.60000000000000053</v>
      </c>
      <c r="T119">
        <f t="shared" si="7"/>
        <v>0.63</v>
      </c>
      <c r="U119">
        <f t="shared" si="8"/>
        <v>-0.34</v>
      </c>
    </row>
    <row r="120" spans="1:21" x14ac:dyDescent="0.2">
      <c r="A120" s="1" t="s">
        <v>133</v>
      </c>
      <c r="B120" s="1">
        <v>28</v>
      </c>
      <c r="C120" s="1" t="s">
        <v>34</v>
      </c>
      <c r="D120" s="1">
        <v>2</v>
      </c>
      <c r="E120" s="1">
        <v>34.055538123939101</v>
      </c>
      <c r="F120" s="1">
        <v>68.348724434152203</v>
      </c>
      <c r="G120" s="1">
        <v>7.7274059958197097E-2</v>
      </c>
      <c r="H120" s="1">
        <v>123.92695672661</v>
      </c>
      <c r="I120" s="1">
        <v>97.412905683740902</v>
      </c>
      <c r="J120" s="1">
        <v>4.5208959270734306E-3</v>
      </c>
      <c r="K120" s="2">
        <v>0.1103</v>
      </c>
      <c r="L120" s="1">
        <v>0.14069999999999999</v>
      </c>
      <c r="M120" s="1">
        <v>0.18779999999999999</v>
      </c>
      <c r="N120">
        <v>9.2600000000000002E-2</v>
      </c>
      <c r="O120">
        <v>9.1999999999999998E-2</v>
      </c>
      <c r="P120">
        <v>8.8700000000000001E-2</v>
      </c>
      <c r="Q120">
        <v>8.8800000000000004E-2</v>
      </c>
      <c r="R120">
        <f t="shared" si="5"/>
        <v>0.69000000000000028</v>
      </c>
      <c r="S120">
        <f t="shared" si="6"/>
        <v>0.63</v>
      </c>
      <c r="T120">
        <f t="shared" si="7"/>
        <v>0.30000000000000027</v>
      </c>
      <c r="U120">
        <f t="shared" si="8"/>
        <v>0.31000000000000055</v>
      </c>
    </row>
    <row r="121" spans="1:21" x14ac:dyDescent="0.2">
      <c r="A121" s="1" t="s">
        <v>133</v>
      </c>
      <c r="B121" s="1">
        <v>28</v>
      </c>
      <c r="C121" s="1" t="s">
        <v>35</v>
      </c>
      <c r="D121" s="1">
        <v>2</v>
      </c>
      <c r="E121" s="1">
        <v>34.055538123939101</v>
      </c>
      <c r="F121" s="1">
        <v>68.348724434152203</v>
      </c>
      <c r="G121" s="1">
        <v>7.7274059958197097E-2</v>
      </c>
      <c r="H121" s="1">
        <v>123.92695672661</v>
      </c>
      <c r="I121" s="1">
        <v>97.412905683740902</v>
      </c>
      <c r="J121" s="1">
        <v>4.5208959270734306E-3</v>
      </c>
      <c r="K121" s="2">
        <v>0.13439999999999999</v>
      </c>
      <c r="L121" s="1">
        <v>0.15529999999999999</v>
      </c>
      <c r="M121" s="1">
        <v>0.1598</v>
      </c>
      <c r="N121">
        <v>7.9500000000000001E-2</v>
      </c>
      <c r="O121">
        <v>7.8600000000000003E-2</v>
      </c>
      <c r="P121">
        <v>0.1019</v>
      </c>
      <c r="Q121">
        <v>8.3199999999999996E-2</v>
      </c>
      <c r="R121">
        <f t="shared" si="5"/>
        <v>-0.61999999999999966</v>
      </c>
      <c r="S121">
        <f t="shared" si="6"/>
        <v>-0.70999999999999952</v>
      </c>
      <c r="T121">
        <f t="shared" si="7"/>
        <v>1.6200000000000006</v>
      </c>
      <c r="U121">
        <f t="shared" si="8"/>
        <v>-0.25000000000000022</v>
      </c>
    </row>
    <row r="122" spans="1:21" x14ac:dyDescent="0.2">
      <c r="A122" s="1" t="s">
        <v>134</v>
      </c>
      <c r="B122" s="1">
        <v>29</v>
      </c>
      <c r="C122" s="1" t="s">
        <v>37</v>
      </c>
      <c r="D122" s="1">
        <v>2</v>
      </c>
      <c r="E122" s="1">
        <v>47.441865837667102</v>
      </c>
      <c r="F122" s="1">
        <v>47.368567385710698</v>
      </c>
      <c r="G122" s="1">
        <v>2.5822297235019501E-2</v>
      </c>
      <c r="H122" s="1">
        <v>11.3904938377439</v>
      </c>
      <c r="I122" s="1">
        <v>83.584356671199203</v>
      </c>
      <c r="J122" s="1">
        <v>3.56734348125755E-3</v>
      </c>
      <c r="K122" s="2">
        <v>0.11890000000000001</v>
      </c>
      <c r="L122" s="1">
        <v>0.19009999999999999</v>
      </c>
      <c r="M122" s="1">
        <v>0.30109999999999998</v>
      </c>
      <c r="N122">
        <v>5.8999999999999997E-2</v>
      </c>
      <c r="O122">
        <v>5.7200000000000001E-2</v>
      </c>
      <c r="P122">
        <v>0.29849999999999999</v>
      </c>
      <c r="Q122">
        <v>9.8299999999999998E-2</v>
      </c>
      <c r="R122">
        <f t="shared" si="5"/>
        <v>-2.67</v>
      </c>
      <c r="S122">
        <f t="shared" si="6"/>
        <v>-2.8499999999999996</v>
      </c>
      <c r="T122">
        <f t="shared" si="7"/>
        <v>21.279999999999998</v>
      </c>
      <c r="U122">
        <f t="shared" si="8"/>
        <v>1.26</v>
      </c>
    </row>
    <row r="123" spans="1:21" x14ac:dyDescent="0.2">
      <c r="A123" s="1" t="s">
        <v>134</v>
      </c>
      <c r="B123" s="1">
        <v>29</v>
      </c>
      <c r="C123" s="1" t="s">
        <v>38</v>
      </c>
      <c r="D123" s="1">
        <v>2</v>
      </c>
      <c r="E123" s="1">
        <v>47.441865837667102</v>
      </c>
      <c r="F123" s="1">
        <v>47.368567385710698</v>
      </c>
      <c r="G123" s="1">
        <v>2.5822297235019501E-2</v>
      </c>
      <c r="H123" s="1">
        <v>11.3904938377439</v>
      </c>
      <c r="I123" s="1">
        <v>83.584356671199203</v>
      </c>
      <c r="J123" s="1">
        <v>3.56734348125755E-3</v>
      </c>
      <c r="K123" s="2">
        <v>0.15709999999999999</v>
      </c>
      <c r="L123" s="1">
        <v>0.23669999999999999</v>
      </c>
      <c r="M123" s="1">
        <v>0.39329999999999998</v>
      </c>
      <c r="N123">
        <v>6.25E-2</v>
      </c>
      <c r="O123">
        <v>6.0299999999999999E-2</v>
      </c>
      <c r="P123">
        <v>7.22E-2</v>
      </c>
      <c r="Q123">
        <v>5.4399999999999997E-2</v>
      </c>
      <c r="R123">
        <f t="shared" si="5"/>
        <v>-2.3199999999999998</v>
      </c>
      <c r="S123">
        <f t="shared" si="6"/>
        <v>-2.54</v>
      </c>
      <c r="T123">
        <f t="shared" si="7"/>
        <v>-1.3499999999999999</v>
      </c>
      <c r="U123">
        <f t="shared" si="8"/>
        <v>-3.13</v>
      </c>
    </row>
    <row r="124" spans="1:21" x14ac:dyDescent="0.2">
      <c r="A124" s="1" t="s">
        <v>134</v>
      </c>
      <c r="B124" s="1">
        <v>29</v>
      </c>
      <c r="C124" s="1" t="s">
        <v>39</v>
      </c>
      <c r="D124" s="1">
        <v>2</v>
      </c>
      <c r="E124" s="1">
        <v>47.441865837667102</v>
      </c>
      <c r="F124" s="1">
        <v>47.368567385710698</v>
      </c>
      <c r="G124" s="1">
        <v>2.5822297235019501E-2</v>
      </c>
      <c r="H124" s="1">
        <v>11.3904938377439</v>
      </c>
      <c r="I124" s="1">
        <v>83.584356671199203</v>
      </c>
      <c r="J124" s="1">
        <v>3.56734348125755E-3</v>
      </c>
      <c r="K124" s="2">
        <v>0.16889999999999999</v>
      </c>
      <c r="L124" s="1">
        <v>0.57230000000000003</v>
      </c>
      <c r="M124" s="1">
        <v>0.27150000000000002</v>
      </c>
      <c r="N124">
        <v>6.4600000000000005E-2</v>
      </c>
      <c r="O124">
        <v>6.4699999999999994E-2</v>
      </c>
      <c r="P124">
        <v>7.22E-2</v>
      </c>
      <c r="Q124">
        <v>5.62E-2</v>
      </c>
      <c r="R124">
        <f t="shared" si="5"/>
        <v>-2.1099999999999994</v>
      </c>
      <c r="S124">
        <f t="shared" si="6"/>
        <v>-2.1000000000000005</v>
      </c>
      <c r="T124">
        <f t="shared" si="7"/>
        <v>-1.3499999999999999</v>
      </c>
      <c r="U124">
        <f t="shared" si="8"/>
        <v>-2.9499999999999997</v>
      </c>
    </row>
    <row r="125" spans="1:21" x14ac:dyDescent="0.2">
      <c r="A125" s="1" t="s">
        <v>134</v>
      </c>
      <c r="B125" s="1">
        <v>29</v>
      </c>
      <c r="C125" s="1" t="s">
        <v>40</v>
      </c>
      <c r="D125" s="1">
        <v>2</v>
      </c>
      <c r="E125" s="1">
        <v>47.441865837667102</v>
      </c>
      <c r="F125" s="1">
        <v>47.368567385710698</v>
      </c>
      <c r="G125" s="1">
        <v>2.5822297235019501E-2</v>
      </c>
      <c r="H125" s="1">
        <v>11.3904938377439</v>
      </c>
      <c r="I125" s="1">
        <v>83.584356671199203</v>
      </c>
      <c r="J125" s="1">
        <v>3.56734348125755E-3</v>
      </c>
      <c r="K125" s="2">
        <v>0.16350000000000001</v>
      </c>
      <c r="L125" s="1">
        <v>0.59299999999999997</v>
      </c>
      <c r="M125" s="1">
        <v>0.37919999999999998</v>
      </c>
      <c r="N125">
        <v>7.2599999999999998E-2</v>
      </c>
      <c r="O125">
        <v>7.2700000000000001E-2</v>
      </c>
      <c r="P125">
        <v>0.30830000000000002</v>
      </c>
      <c r="Q125">
        <v>6.3899999999999998E-2</v>
      </c>
      <c r="R125">
        <f t="shared" si="5"/>
        <v>-1.31</v>
      </c>
      <c r="S125">
        <f t="shared" si="6"/>
        <v>-1.2999999999999998</v>
      </c>
      <c r="T125">
        <f t="shared" si="7"/>
        <v>22.26</v>
      </c>
      <c r="U125">
        <f t="shared" si="8"/>
        <v>-2.1800000000000002</v>
      </c>
    </row>
    <row r="126" spans="1:21" x14ac:dyDescent="0.2">
      <c r="A126" s="1" t="s">
        <v>135</v>
      </c>
      <c r="B126" s="1">
        <v>30</v>
      </c>
      <c r="C126" s="1" t="s">
        <v>42</v>
      </c>
      <c r="D126" s="1">
        <v>2</v>
      </c>
      <c r="E126" s="1">
        <v>1.0869644745253</v>
      </c>
      <c r="F126" s="1">
        <v>15.0792768402025</v>
      </c>
      <c r="G126" s="1">
        <v>5.6403851263225006E-3</v>
      </c>
      <c r="H126" s="1">
        <v>49.490173384547198</v>
      </c>
      <c r="I126" s="1">
        <v>106.057803346775</v>
      </c>
      <c r="J126" s="1">
        <v>1.75776861868798E-3</v>
      </c>
      <c r="K126" s="2">
        <v>0.2485</v>
      </c>
      <c r="L126" s="1">
        <v>0.72660000000000002</v>
      </c>
      <c r="M126" s="1">
        <v>0.80489999999999995</v>
      </c>
      <c r="N126">
        <v>7.85E-2</v>
      </c>
      <c r="O126">
        <v>7.0400000000000004E-2</v>
      </c>
      <c r="P126">
        <v>0.1822</v>
      </c>
      <c r="Q126">
        <v>9.1600000000000001E-2</v>
      </c>
      <c r="R126">
        <f t="shared" si="5"/>
        <v>-0.71999999999999975</v>
      </c>
      <c r="S126">
        <f t="shared" si="6"/>
        <v>-1.5299999999999994</v>
      </c>
      <c r="T126">
        <f t="shared" si="7"/>
        <v>9.65</v>
      </c>
      <c r="U126">
        <f t="shared" si="8"/>
        <v>0.59000000000000019</v>
      </c>
    </row>
    <row r="127" spans="1:21" x14ac:dyDescent="0.2">
      <c r="A127" s="1" t="s">
        <v>135</v>
      </c>
      <c r="B127" s="1">
        <v>30</v>
      </c>
      <c r="C127" s="1" t="s">
        <v>43</v>
      </c>
      <c r="D127" s="1">
        <v>2</v>
      </c>
      <c r="E127" s="1">
        <v>1.0869644745253</v>
      </c>
      <c r="F127" s="1">
        <v>15.0792768402025</v>
      </c>
      <c r="G127" s="1">
        <v>5.6403851263225006E-3</v>
      </c>
      <c r="H127" s="1">
        <v>49.490173384547198</v>
      </c>
      <c r="I127" s="1">
        <v>106.057803346775</v>
      </c>
      <c r="J127" s="1">
        <v>1.75776861868798E-3</v>
      </c>
      <c r="K127" s="2">
        <v>0.13100000000000001</v>
      </c>
      <c r="L127" s="1">
        <v>0.35659999999999997</v>
      </c>
      <c r="M127" s="1">
        <v>0.3463</v>
      </c>
      <c r="N127">
        <v>6.59E-2</v>
      </c>
      <c r="O127">
        <v>6.3100000000000003E-2</v>
      </c>
      <c r="P127">
        <v>8.0600000000000005E-2</v>
      </c>
      <c r="Q127">
        <v>7.9799999999999996E-2</v>
      </c>
      <c r="R127">
        <f t="shared" si="5"/>
        <v>-1.9799999999999998</v>
      </c>
      <c r="S127">
        <f t="shared" si="6"/>
        <v>-2.2599999999999993</v>
      </c>
      <c r="T127">
        <f t="shared" si="7"/>
        <v>-0.50999999999999934</v>
      </c>
      <c r="U127">
        <f t="shared" si="8"/>
        <v>-0.59000000000000019</v>
      </c>
    </row>
    <row r="128" spans="1:21" x14ac:dyDescent="0.2">
      <c r="A128" s="1" t="s">
        <v>135</v>
      </c>
      <c r="B128" s="1">
        <v>30</v>
      </c>
      <c r="C128" s="1" t="s">
        <v>44</v>
      </c>
      <c r="D128" s="1">
        <v>2</v>
      </c>
      <c r="E128" s="1">
        <v>1.0869644745253</v>
      </c>
      <c r="F128" s="1">
        <v>15.0792768402025</v>
      </c>
      <c r="G128" s="1">
        <v>5.6403851263225006E-3</v>
      </c>
      <c r="H128" s="1">
        <v>49.490173384547198</v>
      </c>
      <c r="I128" s="1">
        <v>106.057803346775</v>
      </c>
      <c r="J128" s="1">
        <v>1.75776861868798E-3</v>
      </c>
      <c r="K128" s="2">
        <v>0.14599999999999999</v>
      </c>
      <c r="L128" s="1">
        <v>0.37780000000000002</v>
      </c>
      <c r="M128" s="1">
        <v>0.3211</v>
      </c>
      <c r="N128">
        <v>8.1600000000000006E-2</v>
      </c>
      <c r="O128">
        <v>7.8200000000000006E-2</v>
      </c>
      <c r="P128">
        <v>9.9400000000000002E-2</v>
      </c>
      <c r="Q128">
        <v>7.8200000000000006E-2</v>
      </c>
      <c r="R128">
        <f t="shared" si="5"/>
        <v>-0.40999999999999925</v>
      </c>
      <c r="S128">
        <f t="shared" si="6"/>
        <v>-0.74999999999999922</v>
      </c>
      <c r="T128">
        <f t="shared" si="7"/>
        <v>1.3700000000000003</v>
      </c>
      <c r="U128">
        <f t="shared" si="8"/>
        <v>-0.74999999999999922</v>
      </c>
    </row>
    <row r="129" spans="1:21" x14ac:dyDescent="0.2">
      <c r="A129" s="1" t="s">
        <v>135</v>
      </c>
      <c r="B129" s="1">
        <v>30</v>
      </c>
      <c r="C129" s="1" t="s">
        <v>45</v>
      </c>
      <c r="D129" s="1">
        <v>2</v>
      </c>
      <c r="E129" s="1">
        <v>1.0869644745253</v>
      </c>
      <c r="F129" s="1">
        <v>15.0792768402025</v>
      </c>
      <c r="G129" s="1">
        <v>5.6403851263225006E-3</v>
      </c>
      <c r="H129" s="1">
        <v>49.490173384547198</v>
      </c>
      <c r="I129" s="1">
        <v>106.057803346775</v>
      </c>
      <c r="J129" s="1">
        <v>1.75776861868798E-3</v>
      </c>
      <c r="K129" s="2">
        <v>0.121</v>
      </c>
      <c r="L129" s="1">
        <v>0.41520000000000001</v>
      </c>
      <c r="M129" s="1">
        <v>0.311</v>
      </c>
      <c r="N129">
        <v>6.3299999999999995E-2</v>
      </c>
      <c r="O129">
        <v>5.7000000000000002E-2</v>
      </c>
      <c r="P129">
        <v>6.83E-2</v>
      </c>
      <c r="Q129">
        <v>8.6699999999999999E-2</v>
      </c>
      <c r="R129">
        <f t="shared" si="5"/>
        <v>-2.2400000000000002</v>
      </c>
      <c r="S129">
        <f t="shared" si="6"/>
        <v>-2.8699999999999997</v>
      </c>
      <c r="T129">
        <f t="shared" si="7"/>
        <v>-1.7399999999999998</v>
      </c>
      <c r="U129">
        <f t="shared" si="8"/>
        <v>0.10000000000000009</v>
      </c>
    </row>
    <row r="130" spans="1:21" x14ac:dyDescent="0.2">
      <c r="A130" s="1" t="s">
        <v>136</v>
      </c>
      <c r="B130" s="1">
        <v>31</v>
      </c>
      <c r="C130" s="1" t="s">
        <v>47</v>
      </c>
      <c r="D130" s="1">
        <v>2</v>
      </c>
      <c r="E130" s="1">
        <v>24.433649511076499</v>
      </c>
      <c r="F130" s="1">
        <v>95.934095697477403</v>
      </c>
      <c r="G130" s="1">
        <v>9.8073957054503197E-2</v>
      </c>
      <c r="H130" s="1">
        <v>95.865755763649901</v>
      </c>
      <c r="I130" s="1">
        <v>125.555491042323</v>
      </c>
      <c r="J130" s="1">
        <v>2.8647042808588497E-3</v>
      </c>
      <c r="K130" s="2">
        <v>0.1181</v>
      </c>
      <c r="L130" s="1">
        <v>0.25280000000000002</v>
      </c>
      <c r="M130" s="1">
        <v>0.18210000000000001</v>
      </c>
      <c r="N130">
        <v>7.8299999999999995E-2</v>
      </c>
      <c r="O130">
        <v>8.7499999999999994E-2</v>
      </c>
      <c r="P130">
        <v>9.6100000000000005E-2</v>
      </c>
      <c r="Q130">
        <v>8.1000000000000003E-2</v>
      </c>
      <c r="R130">
        <f t="shared" si="5"/>
        <v>-0.74000000000000032</v>
      </c>
      <c r="S130">
        <f t="shared" si="6"/>
        <v>0.1799999999999996</v>
      </c>
      <c r="T130">
        <f t="shared" si="7"/>
        <v>1.0400000000000007</v>
      </c>
      <c r="U130">
        <f t="shared" si="8"/>
        <v>-0.46999999999999958</v>
      </c>
    </row>
    <row r="131" spans="1:21" x14ac:dyDescent="0.2">
      <c r="A131" s="1" t="s">
        <v>136</v>
      </c>
      <c r="B131" s="1">
        <v>31</v>
      </c>
      <c r="C131" s="1" t="s">
        <v>48</v>
      </c>
      <c r="D131" s="1">
        <v>2</v>
      </c>
      <c r="E131" s="1">
        <v>24.433649511076499</v>
      </c>
      <c r="F131" s="1">
        <v>95.934095697477403</v>
      </c>
      <c r="G131" s="1">
        <v>9.8073957054503197E-2</v>
      </c>
      <c r="H131" s="1">
        <v>95.865755763649901</v>
      </c>
      <c r="I131" s="1">
        <v>125.555491042323</v>
      </c>
      <c r="J131" s="1">
        <v>2.8647042808588497E-3</v>
      </c>
      <c r="K131" s="2">
        <v>0.15359999999999999</v>
      </c>
      <c r="L131" s="1">
        <v>0.1857</v>
      </c>
      <c r="M131" s="1">
        <v>0.21049999999999999</v>
      </c>
      <c r="N131">
        <v>7.8299999999999995E-2</v>
      </c>
      <c r="O131">
        <v>8.43E-2</v>
      </c>
      <c r="P131">
        <v>0.104</v>
      </c>
      <c r="Q131">
        <v>6.6600000000000006E-2</v>
      </c>
      <c r="R131">
        <f t="shared" ref="R131:R194" si="9">(N131-0.0857)/0.01</f>
        <v>-0.74000000000000032</v>
      </c>
      <c r="S131">
        <f t="shared" ref="S131:S194" si="10">(O131-0.0857)/0.01</f>
        <v>-0.13999999999999985</v>
      </c>
      <c r="T131">
        <f t="shared" ref="T131:T194" si="11">(P131-0.0857)/0.01</f>
        <v>1.8299999999999996</v>
      </c>
      <c r="U131">
        <f t="shared" ref="U131:U194" si="12">(Q131-0.0857)/0.01</f>
        <v>-1.9099999999999993</v>
      </c>
    </row>
    <row r="132" spans="1:21" x14ac:dyDescent="0.2">
      <c r="A132" s="1" t="s">
        <v>136</v>
      </c>
      <c r="B132" s="1">
        <v>31</v>
      </c>
      <c r="C132" s="1" t="s">
        <v>49</v>
      </c>
      <c r="D132" s="1">
        <v>2</v>
      </c>
      <c r="E132" s="1">
        <v>24.433649511076499</v>
      </c>
      <c r="F132" s="1">
        <v>95.934095697477403</v>
      </c>
      <c r="G132" s="1">
        <v>9.8073957054503197E-2</v>
      </c>
      <c r="H132" s="1">
        <v>95.865755763649901</v>
      </c>
      <c r="I132" s="1">
        <v>125.555491042323</v>
      </c>
      <c r="J132" s="1">
        <v>2.8647042808588497E-3</v>
      </c>
      <c r="K132" s="2">
        <v>0.11700000000000001</v>
      </c>
      <c r="L132" s="1">
        <v>0.28670000000000001</v>
      </c>
      <c r="M132" s="1">
        <v>0.22339999999999999</v>
      </c>
      <c r="N132">
        <v>8.09E-2</v>
      </c>
      <c r="O132">
        <v>9.8000000000000004E-2</v>
      </c>
      <c r="P132">
        <v>8.7599999999999997E-2</v>
      </c>
      <c r="Q132">
        <v>5.5399999999999998E-2</v>
      </c>
      <c r="R132">
        <f t="shared" si="9"/>
        <v>-0.47999999999999987</v>
      </c>
      <c r="S132">
        <f t="shared" si="10"/>
        <v>1.2300000000000004</v>
      </c>
      <c r="T132">
        <f t="shared" si="11"/>
        <v>0.18999999999999989</v>
      </c>
      <c r="U132">
        <f t="shared" si="12"/>
        <v>-3.03</v>
      </c>
    </row>
    <row r="133" spans="1:21" x14ac:dyDescent="0.2">
      <c r="A133" s="1" t="s">
        <v>136</v>
      </c>
      <c r="B133" s="1">
        <v>31</v>
      </c>
      <c r="C133" s="1" t="s">
        <v>50</v>
      </c>
      <c r="D133" s="1">
        <v>2</v>
      </c>
      <c r="E133" s="1">
        <v>24.433649511076499</v>
      </c>
      <c r="F133" s="1">
        <v>95.934095697477403</v>
      </c>
      <c r="G133" s="1">
        <v>9.8073957054503197E-2</v>
      </c>
      <c r="H133" s="1">
        <v>95.865755763649901</v>
      </c>
      <c r="I133" s="1">
        <v>125.555491042323</v>
      </c>
      <c r="J133" s="1">
        <v>2.8647042808588497E-3</v>
      </c>
      <c r="K133" s="2">
        <v>0.12690000000000001</v>
      </c>
      <c r="L133" s="1">
        <v>0.27489999999999998</v>
      </c>
      <c r="M133" s="1">
        <v>0.25459999999999999</v>
      </c>
      <c r="N133">
        <v>8.2799999999999999E-2</v>
      </c>
      <c r="O133">
        <v>9.7600000000000006E-2</v>
      </c>
      <c r="P133">
        <v>9.0499999999999997E-2</v>
      </c>
      <c r="Q133">
        <v>5.8200000000000002E-2</v>
      </c>
      <c r="R133">
        <f t="shared" si="9"/>
        <v>-0.28999999999999998</v>
      </c>
      <c r="S133">
        <f t="shared" si="10"/>
        <v>1.1900000000000008</v>
      </c>
      <c r="T133">
        <f t="shared" si="11"/>
        <v>0.47999999999999987</v>
      </c>
      <c r="U133">
        <f t="shared" si="12"/>
        <v>-2.7499999999999996</v>
      </c>
    </row>
    <row r="134" spans="1:21" x14ac:dyDescent="0.2">
      <c r="A134" s="1" t="s">
        <v>137</v>
      </c>
      <c r="B134" s="1">
        <v>32</v>
      </c>
      <c r="C134" s="1" t="s">
        <v>52</v>
      </c>
      <c r="D134" s="1">
        <v>2</v>
      </c>
      <c r="E134" s="1">
        <v>44.783365886658402</v>
      </c>
      <c r="F134" s="1">
        <v>63.579611069522798</v>
      </c>
      <c r="G134" s="1">
        <v>4.9772305982373602E-2</v>
      </c>
      <c r="H134" s="1">
        <v>76.623912628740001</v>
      </c>
      <c r="I134" s="1">
        <v>108.515625209547</v>
      </c>
      <c r="J134" s="1">
        <v>4.4293872045353001E-3</v>
      </c>
      <c r="K134" s="2">
        <v>0.1205</v>
      </c>
      <c r="L134" s="1">
        <v>0.24759999999999999</v>
      </c>
      <c r="M134" s="1">
        <v>0.58940000000000003</v>
      </c>
      <c r="N134">
        <v>7.5499999999999998E-2</v>
      </c>
      <c r="O134">
        <v>7.1800000000000003E-2</v>
      </c>
      <c r="P134">
        <v>8.2500000000000004E-2</v>
      </c>
      <c r="Q134">
        <v>7.8200000000000006E-2</v>
      </c>
      <c r="R134">
        <f t="shared" si="9"/>
        <v>-1.02</v>
      </c>
      <c r="S134">
        <f t="shared" si="10"/>
        <v>-1.3899999999999995</v>
      </c>
      <c r="T134">
        <f t="shared" si="11"/>
        <v>-0.31999999999999945</v>
      </c>
      <c r="U134">
        <f t="shared" si="12"/>
        <v>-0.74999999999999922</v>
      </c>
    </row>
    <row r="135" spans="1:21" x14ac:dyDescent="0.2">
      <c r="A135" s="1" t="s">
        <v>137</v>
      </c>
      <c r="B135" s="1">
        <v>32</v>
      </c>
      <c r="C135" s="1" t="s">
        <v>53</v>
      </c>
      <c r="D135" s="1">
        <v>2</v>
      </c>
      <c r="E135" s="1">
        <v>44.783365886658402</v>
      </c>
      <c r="F135" s="1">
        <v>63.579611069522798</v>
      </c>
      <c r="G135" s="1">
        <v>4.9772305982373602E-2</v>
      </c>
      <c r="H135" s="1">
        <v>76.623912628740001</v>
      </c>
      <c r="I135" s="1">
        <v>108.515625209547</v>
      </c>
      <c r="J135" s="1">
        <v>4.4293872045353001E-3</v>
      </c>
      <c r="K135" s="2">
        <v>0.12820000000000001</v>
      </c>
      <c r="L135" s="1">
        <v>0.2646</v>
      </c>
      <c r="M135" s="1">
        <v>1.2396</v>
      </c>
      <c r="N135">
        <v>7.9200000000000007E-2</v>
      </c>
      <c r="O135">
        <v>0.1053</v>
      </c>
      <c r="P135">
        <v>8.1299999999999997E-2</v>
      </c>
      <c r="Q135">
        <v>5.8700000000000002E-2</v>
      </c>
      <c r="R135">
        <f t="shared" si="9"/>
        <v>-0.64999999999999913</v>
      </c>
      <c r="S135">
        <f t="shared" si="10"/>
        <v>1.9600000000000006</v>
      </c>
      <c r="T135">
        <f t="shared" si="11"/>
        <v>-0.44000000000000011</v>
      </c>
      <c r="U135">
        <f t="shared" si="12"/>
        <v>-2.6999999999999997</v>
      </c>
    </row>
    <row r="136" spans="1:21" x14ac:dyDescent="0.2">
      <c r="A136" s="1" t="s">
        <v>137</v>
      </c>
      <c r="B136" s="1">
        <v>32</v>
      </c>
      <c r="C136" s="1" t="s">
        <v>54</v>
      </c>
      <c r="D136" s="1">
        <v>2</v>
      </c>
      <c r="E136" s="1">
        <v>44.783365886658402</v>
      </c>
      <c r="F136" s="1">
        <v>63.579611069522798</v>
      </c>
      <c r="G136" s="1">
        <v>4.9772305982373602E-2</v>
      </c>
      <c r="H136" s="1">
        <v>76.623912628740001</v>
      </c>
      <c r="I136" s="1">
        <v>108.515625209547</v>
      </c>
      <c r="J136" s="1">
        <v>4.4293872045353001E-3</v>
      </c>
      <c r="K136" s="2">
        <v>0.1303</v>
      </c>
      <c r="L136" s="1">
        <v>0.2195</v>
      </c>
      <c r="M136" s="1">
        <v>0.3397</v>
      </c>
      <c r="N136">
        <v>8.9300000000000004E-2</v>
      </c>
      <c r="O136">
        <v>0.81010000000000004</v>
      </c>
      <c r="P136">
        <v>9.4899999999999998E-2</v>
      </c>
      <c r="Q136">
        <v>6.2600000000000003E-2</v>
      </c>
      <c r="R136">
        <f t="shared" si="9"/>
        <v>0.3600000000000006</v>
      </c>
      <c r="S136">
        <f t="shared" si="10"/>
        <v>72.44</v>
      </c>
      <c r="T136">
        <f t="shared" si="11"/>
        <v>0.91999999999999993</v>
      </c>
      <c r="U136">
        <f t="shared" si="12"/>
        <v>-2.3099999999999996</v>
      </c>
    </row>
    <row r="137" spans="1:21" x14ac:dyDescent="0.2">
      <c r="A137" s="1" t="s">
        <v>137</v>
      </c>
      <c r="B137" s="1">
        <v>32</v>
      </c>
      <c r="C137" s="1" t="s">
        <v>55</v>
      </c>
      <c r="D137" s="1">
        <v>2</v>
      </c>
      <c r="E137" s="1">
        <v>44.783365886658402</v>
      </c>
      <c r="F137" s="1">
        <v>63.579611069522798</v>
      </c>
      <c r="G137" s="1">
        <v>4.9772305982373602E-2</v>
      </c>
      <c r="H137" s="1">
        <v>76.623912628740001</v>
      </c>
      <c r="I137" s="1">
        <v>108.515625209547</v>
      </c>
      <c r="J137" s="1">
        <v>4.4293872045353001E-3</v>
      </c>
      <c r="K137" s="2">
        <v>0.12609999999999999</v>
      </c>
      <c r="L137" s="1">
        <v>0.22800000000000001</v>
      </c>
      <c r="M137" s="1">
        <v>0.28349999999999997</v>
      </c>
      <c r="N137">
        <v>7.5999999999999998E-2</v>
      </c>
      <c r="O137">
        <v>0.1108</v>
      </c>
      <c r="P137">
        <v>8.8900000000000007E-2</v>
      </c>
      <c r="Q137">
        <v>5.7000000000000002E-2</v>
      </c>
      <c r="R137">
        <f t="shared" si="9"/>
        <v>-0.97</v>
      </c>
      <c r="S137">
        <f t="shared" si="10"/>
        <v>2.5099999999999998</v>
      </c>
      <c r="T137">
        <f t="shared" si="11"/>
        <v>0.32000000000000084</v>
      </c>
      <c r="U137">
        <f t="shared" si="12"/>
        <v>-2.8699999999999997</v>
      </c>
    </row>
    <row r="138" spans="1:21" x14ac:dyDescent="0.2">
      <c r="A138" s="1" t="s">
        <v>138</v>
      </c>
      <c r="B138" s="1">
        <v>33</v>
      </c>
      <c r="C138" s="1" t="s">
        <v>57</v>
      </c>
      <c r="D138" s="1">
        <v>2</v>
      </c>
      <c r="E138" s="1">
        <v>2.6125594526529299</v>
      </c>
      <c r="F138" s="1">
        <v>32.908584495074997</v>
      </c>
      <c r="G138" s="1">
        <v>7.9698729621432707E-2</v>
      </c>
      <c r="H138" s="1">
        <v>24.209409802406999</v>
      </c>
      <c r="I138" s="1">
        <v>98.055628007277804</v>
      </c>
      <c r="J138" s="1">
        <v>3.5069238582625898E-3</v>
      </c>
      <c r="K138" s="2">
        <v>0.25879999999999997</v>
      </c>
      <c r="L138" s="1">
        <v>0.54479999999999995</v>
      </c>
      <c r="M138" s="1">
        <v>0.5373</v>
      </c>
      <c r="N138">
        <v>6.7100000000000007E-2</v>
      </c>
      <c r="O138">
        <v>6.2100000000000002E-2</v>
      </c>
      <c r="P138">
        <v>9.4500000000000001E-2</v>
      </c>
      <c r="Q138">
        <v>9.01E-2</v>
      </c>
      <c r="R138">
        <f t="shared" si="9"/>
        <v>-1.8599999999999992</v>
      </c>
      <c r="S138">
        <f t="shared" si="10"/>
        <v>-2.3599999999999994</v>
      </c>
      <c r="T138">
        <f t="shared" si="11"/>
        <v>0.88000000000000023</v>
      </c>
      <c r="U138">
        <f t="shared" si="12"/>
        <v>0.44000000000000011</v>
      </c>
    </row>
    <row r="139" spans="1:21" x14ac:dyDescent="0.2">
      <c r="A139" s="1" t="s">
        <v>138</v>
      </c>
      <c r="B139" s="1">
        <v>33</v>
      </c>
      <c r="C139" s="1" t="s">
        <v>58</v>
      </c>
      <c r="D139" s="1">
        <v>2</v>
      </c>
      <c r="E139" s="1">
        <v>2.6125594526529299</v>
      </c>
      <c r="F139" s="1">
        <v>32.908584495074997</v>
      </c>
      <c r="G139" s="1">
        <v>7.9698729621432707E-2</v>
      </c>
      <c r="H139" s="1">
        <v>24.209409802406999</v>
      </c>
      <c r="I139" s="1">
        <v>98.055628007277804</v>
      </c>
      <c r="J139" s="1">
        <v>3.5069238582625898E-3</v>
      </c>
      <c r="K139" s="2">
        <v>0.2898</v>
      </c>
      <c r="L139" s="1">
        <v>0.56589999999999996</v>
      </c>
      <c r="M139" s="1">
        <v>0.28839999999999999</v>
      </c>
      <c r="N139">
        <v>7.7899999999999997E-2</v>
      </c>
      <c r="O139">
        <v>6.8199999999999997E-2</v>
      </c>
      <c r="P139">
        <v>9.4100000000000003E-2</v>
      </c>
      <c r="Q139">
        <v>5.5100000000000003E-2</v>
      </c>
      <c r="R139">
        <f t="shared" si="9"/>
        <v>-0.78000000000000014</v>
      </c>
      <c r="S139">
        <f t="shared" si="10"/>
        <v>-1.7500000000000002</v>
      </c>
      <c r="T139">
        <f t="shared" si="11"/>
        <v>0.84000000000000041</v>
      </c>
      <c r="U139">
        <f t="shared" si="12"/>
        <v>-3.0599999999999996</v>
      </c>
    </row>
    <row r="140" spans="1:21" x14ac:dyDescent="0.2">
      <c r="A140" s="1" t="s">
        <v>138</v>
      </c>
      <c r="B140" s="1">
        <v>33</v>
      </c>
      <c r="C140" s="1" t="s">
        <v>59</v>
      </c>
      <c r="D140" s="1">
        <v>2</v>
      </c>
      <c r="E140" s="1">
        <v>2.6125594526529299</v>
      </c>
      <c r="F140" s="1">
        <v>32.908584495074997</v>
      </c>
      <c r="G140" s="1">
        <v>7.9698729621432707E-2</v>
      </c>
      <c r="H140" s="1">
        <v>24.209409802406999</v>
      </c>
      <c r="I140" s="1">
        <v>98.055628007277804</v>
      </c>
      <c r="J140" s="1">
        <v>3.5069238582625898E-3</v>
      </c>
      <c r="K140" s="2">
        <v>0.25669999999999998</v>
      </c>
      <c r="L140" s="1">
        <v>0.56630000000000003</v>
      </c>
      <c r="M140" s="1">
        <v>0.39219999999999999</v>
      </c>
      <c r="N140">
        <v>7.3800000000000004E-2</v>
      </c>
      <c r="O140">
        <v>6.3299999999999995E-2</v>
      </c>
      <c r="P140">
        <v>8.5300000000000001E-2</v>
      </c>
      <c r="Q140">
        <v>8.8999999999999996E-2</v>
      </c>
      <c r="R140">
        <f t="shared" si="9"/>
        <v>-1.1899999999999993</v>
      </c>
      <c r="S140">
        <f t="shared" si="10"/>
        <v>-2.2400000000000002</v>
      </c>
      <c r="T140">
        <f t="shared" si="11"/>
        <v>-3.9999999999999758E-2</v>
      </c>
      <c r="U140">
        <f t="shared" si="12"/>
        <v>0.32999999999999974</v>
      </c>
    </row>
    <row r="141" spans="1:21" x14ac:dyDescent="0.2">
      <c r="A141" s="1" t="s">
        <v>138</v>
      </c>
      <c r="B141" s="1">
        <v>33</v>
      </c>
      <c r="C141" s="1" t="s">
        <v>60</v>
      </c>
      <c r="D141" s="1">
        <v>2</v>
      </c>
      <c r="E141" s="1">
        <v>2.6125594526529299</v>
      </c>
      <c r="F141" s="1">
        <v>32.908584495074997</v>
      </c>
      <c r="G141" s="1">
        <v>7.9698729621432707E-2</v>
      </c>
      <c r="H141" s="1">
        <v>24.209409802406999</v>
      </c>
      <c r="I141" s="1">
        <v>98.055628007277804</v>
      </c>
      <c r="J141" s="1">
        <v>3.5069238582625898E-3</v>
      </c>
      <c r="K141" s="2">
        <v>0.23780000000000001</v>
      </c>
      <c r="L141" s="1">
        <v>0.65980000000000005</v>
      </c>
      <c r="M141" s="1">
        <v>0.29530000000000001</v>
      </c>
      <c r="N141">
        <v>8.1100000000000005E-2</v>
      </c>
      <c r="O141">
        <v>7.1099999999999997E-2</v>
      </c>
      <c r="P141">
        <v>8.5400000000000004E-2</v>
      </c>
      <c r="Q141">
        <v>6.3500000000000001E-2</v>
      </c>
      <c r="R141">
        <f t="shared" si="9"/>
        <v>-0.4599999999999993</v>
      </c>
      <c r="S141">
        <f t="shared" si="10"/>
        <v>-1.4600000000000002</v>
      </c>
      <c r="T141">
        <f t="shared" si="11"/>
        <v>-2.9999999999999472E-2</v>
      </c>
      <c r="U141">
        <f t="shared" si="12"/>
        <v>-2.2199999999999998</v>
      </c>
    </row>
    <row r="142" spans="1:21" x14ac:dyDescent="0.2">
      <c r="A142" s="1" t="s">
        <v>139</v>
      </c>
      <c r="B142" s="1">
        <v>34</v>
      </c>
      <c r="C142" s="1" t="s">
        <v>62</v>
      </c>
      <c r="D142" s="1">
        <v>2</v>
      </c>
      <c r="E142" s="1">
        <v>10.2746875057928</v>
      </c>
      <c r="F142" s="1">
        <v>72.488265474326894</v>
      </c>
      <c r="G142" s="1">
        <v>4.3031005704775402E-2</v>
      </c>
      <c r="H142" s="1">
        <v>28.0544732578098</v>
      </c>
      <c r="I142" s="1">
        <v>129.67857192736099</v>
      </c>
      <c r="J142" s="1">
        <v>4.2109012999106202E-3</v>
      </c>
      <c r="K142" s="2">
        <v>0.1318</v>
      </c>
      <c r="L142" s="1">
        <v>0.3221</v>
      </c>
      <c r="M142" s="1">
        <v>0.27450000000000002</v>
      </c>
      <c r="N142">
        <v>7.1900000000000006E-2</v>
      </c>
      <c r="O142">
        <v>6.6799999999999998E-2</v>
      </c>
      <c r="P142">
        <v>7.9299999999999995E-2</v>
      </c>
      <c r="Q142">
        <v>6.9900000000000004E-2</v>
      </c>
      <c r="R142">
        <f t="shared" si="9"/>
        <v>-1.3799999999999992</v>
      </c>
      <c r="S142">
        <f t="shared" si="10"/>
        <v>-1.89</v>
      </c>
      <c r="T142">
        <f t="shared" si="11"/>
        <v>-0.64000000000000024</v>
      </c>
      <c r="U142">
        <f t="shared" si="12"/>
        <v>-1.5799999999999994</v>
      </c>
    </row>
    <row r="143" spans="1:21" x14ac:dyDescent="0.2">
      <c r="A143" s="1" t="s">
        <v>139</v>
      </c>
      <c r="B143" s="1">
        <v>34</v>
      </c>
      <c r="C143" s="1" t="s">
        <v>63</v>
      </c>
      <c r="D143" s="1">
        <v>2</v>
      </c>
      <c r="E143" s="1">
        <v>10.2746875057928</v>
      </c>
      <c r="F143" s="1">
        <v>72.488265474326894</v>
      </c>
      <c r="G143" s="1">
        <v>4.3031005704775402E-2</v>
      </c>
      <c r="H143" s="1">
        <v>28.0544732578098</v>
      </c>
      <c r="I143" s="1">
        <v>129.67857192736099</v>
      </c>
      <c r="J143" s="1">
        <v>4.2109012999106202E-3</v>
      </c>
      <c r="K143" s="2">
        <v>0.17899999999999999</v>
      </c>
      <c r="L143" s="1">
        <v>0.28560000000000002</v>
      </c>
      <c r="M143" s="1">
        <v>0.6502</v>
      </c>
      <c r="N143">
        <v>8.7300000000000003E-2</v>
      </c>
      <c r="O143">
        <v>7.8100000000000003E-2</v>
      </c>
      <c r="P143">
        <v>8.4400000000000003E-2</v>
      </c>
      <c r="Q143">
        <v>6.5000000000000002E-2</v>
      </c>
      <c r="R143">
        <f t="shared" si="9"/>
        <v>0.16000000000000042</v>
      </c>
      <c r="S143">
        <f t="shared" si="10"/>
        <v>-0.75999999999999956</v>
      </c>
      <c r="T143">
        <f t="shared" si="11"/>
        <v>-0.12999999999999956</v>
      </c>
      <c r="U143">
        <f t="shared" si="12"/>
        <v>-2.0699999999999994</v>
      </c>
    </row>
    <row r="144" spans="1:21" x14ac:dyDescent="0.2">
      <c r="A144" s="1" t="s">
        <v>139</v>
      </c>
      <c r="B144" s="1">
        <v>34</v>
      </c>
      <c r="C144" s="1" t="s">
        <v>64</v>
      </c>
      <c r="D144" s="1">
        <v>2</v>
      </c>
      <c r="E144" s="1">
        <v>10.2746875057928</v>
      </c>
      <c r="F144" s="1">
        <v>72.488265474326894</v>
      </c>
      <c r="G144" s="1">
        <v>4.3031005704775402E-2</v>
      </c>
      <c r="H144" s="1">
        <v>28.0544732578098</v>
      </c>
      <c r="I144" s="1">
        <v>129.67857192736099</v>
      </c>
      <c r="J144" s="1">
        <v>4.2109012999106202E-3</v>
      </c>
      <c r="K144" s="2">
        <v>0.1575</v>
      </c>
      <c r="L144" s="1">
        <v>0.2802</v>
      </c>
      <c r="M144" s="1">
        <v>0.46129999999999999</v>
      </c>
      <c r="N144">
        <v>9.5799999999999996E-2</v>
      </c>
      <c r="O144">
        <v>8.1000000000000003E-2</v>
      </c>
      <c r="P144">
        <v>9.0800000000000006E-2</v>
      </c>
      <c r="Q144">
        <v>8.09E-2</v>
      </c>
      <c r="R144">
        <f t="shared" si="9"/>
        <v>1.0099999999999998</v>
      </c>
      <c r="S144">
        <f t="shared" si="10"/>
        <v>-0.46999999999999958</v>
      </c>
      <c r="T144">
        <f t="shared" si="11"/>
        <v>0.51000000000000068</v>
      </c>
      <c r="U144">
        <f t="shared" si="12"/>
        <v>-0.47999999999999987</v>
      </c>
    </row>
    <row r="145" spans="1:21" x14ac:dyDescent="0.2">
      <c r="A145" s="1" t="s">
        <v>139</v>
      </c>
      <c r="B145" s="1">
        <v>34</v>
      </c>
      <c r="C145" s="1" t="s">
        <v>65</v>
      </c>
      <c r="D145" s="1">
        <v>2</v>
      </c>
      <c r="E145" s="1">
        <v>10.2746875057928</v>
      </c>
      <c r="F145" s="1">
        <v>72.488265474326894</v>
      </c>
      <c r="G145" s="1">
        <v>4.3031005704775402E-2</v>
      </c>
      <c r="H145" s="1">
        <v>28.0544732578098</v>
      </c>
      <c r="I145" s="1">
        <v>129.67857192736099</v>
      </c>
      <c r="J145" s="1">
        <v>4.2109012999106202E-3</v>
      </c>
      <c r="K145" s="2">
        <v>0.12620000000000001</v>
      </c>
      <c r="L145" s="1">
        <v>0.2392</v>
      </c>
      <c r="M145" s="1">
        <v>0.20169999999999999</v>
      </c>
      <c r="N145">
        <v>8.3400000000000002E-2</v>
      </c>
      <c r="O145">
        <v>6.9199999999999998E-2</v>
      </c>
      <c r="P145">
        <v>8.8200000000000001E-2</v>
      </c>
      <c r="Q145">
        <v>6.0100000000000001E-2</v>
      </c>
      <c r="R145">
        <f t="shared" si="9"/>
        <v>-0.22999999999999965</v>
      </c>
      <c r="S145">
        <f t="shared" si="10"/>
        <v>-1.6500000000000001</v>
      </c>
      <c r="T145">
        <f t="shared" si="11"/>
        <v>0.25000000000000022</v>
      </c>
      <c r="U145">
        <f t="shared" si="12"/>
        <v>-2.5599999999999996</v>
      </c>
    </row>
    <row r="146" spans="1:21" x14ac:dyDescent="0.2">
      <c r="A146" s="1" t="s">
        <v>140</v>
      </c>
      <c r="B146" s="1">
        <v>35</v>
      </c>
      <c r="C146" s="1" t="s">
        <v>67</v>
      </c>
      <c r="D146" s="1">
        <v>2</v>
      </c>
      <c r="E146" s="1">
        <v>40.866569858044301</v>
      </c>
      <c r="F146" s="1">
        <v>47.711569246836</v>
      </c>
      <c r="G146" s="1">
        <v>5.9910626059956798E-2</v>
      </c>
      <c r="H146" s="1">
        <v>101.470828448981</v>
      </c>
      <c r="I146" s="1">
        <v>127.897753785364</v>
      </c>
      <c r="J146" s="1">
        <v>2.6915079502854403E-3</v>
      </c>
      <c r="K146" s="2">
        <v>0.12959999999999999</v>
      </c>
      <c r="L146" s="1">
        <v>0.25769999999999998</v>
      </c>
      <c r="M146" s="1">
        <v>0.37440000000000001</v>
      </c>
      <c r="N146">
        <v>7.6700000000000004E-2</v>
      </c>
      <c r="O146">
        <v>0.1089</v>
      </c>
      <c r="P146">
        <v>8.5599999999999996E-2</v>
      </c>
      <c r="Q146">
        <v>8.3099999999999993E-2</v>
      </c>
      <c r="R146">
        <f t="shared" si="9"/>
        <v>-0.89999999999999936</v>
      </c>
      <c r="S146">
        <f t="shared" si="10"/>
        <v>2.3199999999999998</v>
      </c>
      <c r="T146">
        <f t="shared" si="11"/>
        <v>-1.0000000000000286E-2</v>
      </c>
      <c r="U146">
        <f t="shared" si="12"/>
        <v>-0.26000000000000051</v>
      </c>
    </row>
    <row r="147" spans="1:21" x14ac:dyDescent="0.2">
      <c r="A147" s="1" t="s">
        <v>140</v>
      </c>
      <c r="B147" s="1">
        <v>35</v>
      </c>
      <c r="C147" s="1" t="s">
        <v>68</v>
      </c>
      <c r="D147" s="1">
        <v>2</v>
      </c>
      <c r="E147" s="1">
        <v>40.866569858044301</v>
      </c>
      <c r="F147" s="1">
        <v>47.711569246836</v>
      </c>
      <c r="G147" s="1">
        <v>5.9910626059956798E-2</v>
      </c>
      <c r="H147" s="1">
        <v>101.470828448981</v>
      </c>
      <c r="I147" s="1">
        <v>127.897753785364</v>
      </c>
      <c r="J147" s="1">
        <v>2.6915079502854403E-3</v>
      </c>
      <c r="K147" s="2">
        <v>0.42199999999999999</v>
      </c>
      <c r="L147" s="1">
        <v>0.2545</v>
      </c>
      <c r="M147" s="1">
        <v>0.37859999999999999</v>
      </c>
      <c r="N147">
        <v>7.5200000000000003E-2</v>
      </c>
      <c r="O147">
        <v>9.8199999999999996E-2</v>
      </c>
      <c r="P147">
        <v>7.8799999999999995E-2</v>
      </c>
      <c r="Q147">
        <v>5.4199999999999998E-2</v>
      </c>
      <c r="R147">
        <f t="shared" si="9"/>
        <v>-1.0499999999999996</v>
      </c>
      <c r="S147">
        <f t="shared" si="10"/>
        <v>1.2499999999999998</v>
      </c>
      <c r="T147">
        <f t="shared" si="11"/>
        <v>-0.69000000000000028</v>
      </c>
      <c r="U147">
        <f t="shared" si="12"/>
        <v>-3.15</v>
      </c>
    </row>
    <row r="148" spans="1:21" x14ac:dyDescent="0.2">
      <c r="A148" s="1" t="s">
        <v>140</v>
      </c>
      <c r="B148" s="1">
        <v>35</v>
      </c>
      <c r="C148" s="1" t="s">
        <v>69</v>
      </c>
      <c r="D148" s="1">
        <v>2</v>
      </c>
      <c r="E148" s="1">
        <v>40.866569858044301</v>
      </c>
      <c r="F148" s="1">
        <v>47.711569246836</v>
      </c>
      <c r="G148" s="1">
        <v>5.9910626059956798E-2</v>
      </c>
      <c r="H148" s="1">
        <v>101.470828448981</v>
      </c>
      <c r="I148" s="1">
        <v>127.897753785364</v>
      </c>
      <c r="J148" s="1">
        <v>2.6915079502854403E-3</v>
      </c>
      <c r="K148" s="2">
        <v>0.1479</v>
      </c>
      <c r="L148" s="1">
        <v>0.26029999999999998</v>
      </c>
      <c r="M148" s="1">
        <v>0.23680000000000001</v>
      </c>
      <c r="N148">
        <v>8.1600000000000006E-2</v>
      </c>
      <c r="O148">
        <v>0.10580000000000001</v>
      </c>
      <c r="P148">
        <v>8.5400000000000004E-2</v>
      </c>
      <c r="Q148">
        <v>6.3E-2</v>
      </c>
      <c r="R148">
        <f t="shared" si="9"/>
        <v>-0.40999999999999925</v>
      </c>
      <c r="S148">
        <f t="shared" si="10"/>
        <v>2.0100000000000007</v>
      </c>
      <c r="T148">
        <f t="shared" si="11"/>
        <v>-2.9999999999999472E-2</v>
      </c>
      <c r="U148">
        <f t="shared" si="12"/>
        <v>-2.2699999999999996</v>
      </c>
    </row>
    <row r="149" spans="1:21" x14ac:dyDescent="0.2">
      <c r="A149" s="1" t="s">
        <v>140</v>
      </c>
      <c r="B149" s="1">
        <v>35</v>
      </c>
      <c r="C149" s="1" t="s">
        <v>70</v>
      </c>
      <c r="D149" s="1">
        <v>2</v>
      </c>
      <c r="E149" s="1">
        <v>40.866569858044301</v>
      </c>
      <c r="F149" s="1">
        <v>47.711569246836</v>
      </c>
      <c r="G149" s="1">
        <v>5.9910626059956798E-2</v>
      </c>
      <c r="H149" s="1">
        <v>101.470828448981</v>
      </c>
      <c r="I149" s="1">
        <v>127.897753785364</v>
      </c>
      <c r="J149" s="1">
        <v>2.6915079502854403E-3</v>
      </c>
      <c r="K149" s="2">
        <v>0.14269999999999999</v>
      </c>
      <c r="L149" s="1">
        <v>0.27739999999999998</v>
      </c>
      <c r="M149" s="1">
        <v>0.39979999999999999</v>
      </c>
      <c r="N149">
        <v>8.6999999999999994E-2</v>
      </c>
      <c r="O149">
        <v>0.36919999999999997</v>
      </c>
      <c r="P149">
        <v>0.14899999999999999</v>
      </c>
      <c r="Q149">
        <v>6.2700000000000006E-2</v>
      </c>
      <c r="R149">
        <f t="shared" si="9"/>
        <v>0.12999999999999956</v>
      </c>
      <c r="S149">
        <f t="shared" si="10"/>
        <v>28.349999999999998</v>
      </c>
      <c r="T149">
        <f t="shared" si="11"/>
        <v>6.3299999999999992</v>
      </c>
      <c r="U149">
        <f t="shared" si="12"/>
        <v>-2.2999999999999994</v>
      </c>
    </row>
    <row r="150" spans="1:21" x14ac:dyDescent="0.2">
      <c r="A150" s="1" t="s">
        <v>141</v>
      </c>
      <c r="B150" s="1">
        <v>36</v>
      </c>
      <c r="C150" s="1" t="s">
        <v>72</v>
      </c>
      <c r="D150" s="1">
        <v>2</v>
      </c>
      <c r="E150" s="1">
        <v>22.163364408537699</v>
      </c>
      <c r="F150" s="1">
        <v>85.811725980602205</v>
      </c>
      <c r="G150" s="1">
        <v>6.5036117504909591E-2</v>
      </c>
      <c r="H150" s="1">
        <v>128.27968515157599</v>
      </c>
      <c r="I150" s="1">
        <v>80.811556256376207</v>
      </c>
      <c r="J150" s="1">
        <v>2.3570055221207401E-4</v>
      </c>
      <c r="K150" s="2">
        <v>0.1075</v>
      </c>
      <c r="L150" s="1">
        <v>0.20669999999999999</v>
      </c>
      <c r="M150" s="1">
        <v>0.26819999999999999</v>
      </c>
      <c r="N150">
        <v>7.6700000000000004E-2</v>
      </c>
      <c r="O150">
        <v>7.6200000000000004E-2</v>
      </c>
      <c r="P150">
        <v>8.3599999999999994E-2</v>
      </c>
      <c r="Q150">
        <v>6.0100000000000001E-2</v>
      </c>
      <c r="R150">
        <f t="shared" si="9"/>
        <v>-0.89999999999999936</v>
      </c>
      <c r="S150">
        <f t="shared" si="10"/>
        <v>-0.9499999999999994</v>
      </c>
      <c r="T150">
        <f t="shared" si="11"/>
        <v>-0.21000000000000046</v>
      </c>
      <c r="U150">
        <f t="shared" si="12"/>
        <v>-2.5599999999999996</v>
      </c>
    </row>
    <row r="151" spans="1:21" x14ac:dyDescent="0.2">
      <c r="A151" s="1" t="s">
        <v>141</v>
      </c>
      <c r="B151" s="1">
        <v>36</v>
      </c>
      <c r="C151" s="1" t="s">
        <v>73</v>
      </c>
      <c r="D151" s="1">
        <v>2</v>
      </c>
      <c r="E151" s="1">
        <v>22.163364408537699</v>
      </c>
      <c r="F151" s="1">
        <v>85.811725980602205</v>
      </c>
      <c r="G151" s="1">
        <v>6.5036117504909591E-2</v>
      </c>
      <c r="H151" s="1">
        <v>128.27968515157599</v>
      </c>
      <c r="I151" s="1">
        <v>80.811556256376207</v>
      </c>
      <c r="J151" s="1">
        <v>2.3570055221207401E-4</v>
      </c>
      <c r="K151" s="2">
        <v>0.1114</v>
      </c>
      <c r="L151" s="1">
        <v>0.18559999999999999</v>
      </c>
      <c r="M151" s="1">
        <v>0.2298</v>
      </c>
      <c r="N151">
        <v>7.9600000000000004E-2</v>
      </c>
      <c r="O151">
        <v>9.5000000000000001E-2</v>
      </c>
      <c r="P151">
        <v>1.3070999999999999</v>
      </c>
      <c r="Q151">
        <v>6.4899999999999999E-2</v>
      </c>
      <c r="R151">
        <f t="shared" si="9"/>
        <v>-0.60999999999999943</v>
      </c>
      <c r="S151">
        <f t="shared" si="10"/>
        <v>0.93000000000000027</v>
      </c>
      <c r="T151">
        <f t="shared" si="11"/>
        <v>122.14</v>
      </c>
      <c r="U151">
        <f t="shared" si="12"/>
        <v>-2.08</v>
      </c>
    </row>
    <row r="152" spans="1:21" x14ac:dyDescent="0.2">
      <c r="A152" s="1" t="s">
        <v>141</v>
      </c>
      <c r="B152" s="1">
        <v>36</v>
      </c>
      <c r="C152" s="1" t="s">
        <v>74</v>
      </c>
      <c r="D152" s="1">
        <v>2</v>
      </c>
      <c r="E152" s="1">
        <v>22.163364408537699</v>
      </c>
      <c r="F152" s="1">
        <v>85.811725980602205</v>
      </c>
      <c r="G152" s="1">
        <v>6.5036117504909591E-2</v>
      </c>
      <c r="H152" s="1">
        <v>128.27968515157599</v>
      </c>
      <c r="I152" s="1">
        <v>80.811556256376207</v>
      </c>
      <c r="J152" s="1">
        <v>2.3570055221207401E-4</v>
      </c>
      <c r="K152" s="2">
        <v>9.5399999999999999E-2</v>
      </c>
      <c r="L152" s="1">
        <v>0.1278</v>
      </c>
      <c r="M152" s="1">
        <v>0.21809999999999999</v>
      </c>
      <c r="N152">
        <v>9.4299999999999995E-2</v>
      </c>
      <c r="O152">
        <v>9.1399999999999995E-2</v>
      </c>
      <c r="P152">
        <v>8.9899999999999994E-2</v>
      </c>
      <c r="Q152">
        <v>6.3399999999999998E-2</v>
      </c>
      <c r="R152">
        <f t="shared" si="9"/>
        <v>0.85999999999999965</v>
      </c>
      <c r="S152">
        <f t="shared" si="10"/>
        <v>0.56999999999999962</v>
      </c>
      <c r="T152">
        <f t="shared" si="11"/>
        <v>0.41999999999999954</v>
      </c>
      <c r="U152">
        <f t="shared" si="12"/>
        <v>-2.23</v>
      </c>
    </row>
    <row r="153" spans="1:21" x14ac:dyDescent="0.2">
      <c r="A153" s="1" t="s">
        <v>141</v>
      </c>
      <c r="B153" s="1">
        <v>36</v>
      </c>
      <c r="C153" s="1" t="s">
        <v>75</v>
      </c>
      <c r="D153" s="1">
        <v>2</v>
      </c>
      <c r="E153" s="1">
        <v>22.163364408537699</v>
      </c>
      <c r="F153" s="1">
        <v>85.811725980602205</v>
      </c>
      <c r="G153" s="1">
        <v>6.5036117504909591E-2</v>
      </c>
      <c r="H153" s="1">
        <v>128.27968515157599</v>
      </c>
      <c r="I153" s="1">
        <v>80.811556256376207</v>
      </c>
      <c r="J153" s="1">
        <v>2.3570055221207401E-4</v>
      </c>
      <c r="K153" s="2">
        <v>9.7799999999999998E-2</v>
      </c>
      <c r="L153" s="1">
        <v>0.1174</v>
      </c>
      <c r="M153" s="1">
        <v>0.21249999999999999</v>
      </c>
      <c r="N153">
        <v>0.12039999999999999</v>
      </c>
      <c r="O153">
        <v>8.1900000000000001E-2</v>
      </c>
      <c r="P153">
        <v>9.7000000000000003E-2</v>
      </c>
      <c r="Q153">
        <v>6.7699999999999996E-2</v>
      </c>
      <c r="R153">
        <f t="shared" si="9"/>
        <v>3.4699999999999993</v>
      </c>
      <c r="S153">
        <f t="shared" si="10"/>
        <v>-0.37999999999999978</v>
      </c>
      <c r="T153">
        <f t="shared" si="11"/>
        <v>1.1300000000000003</v>
      </c>
      <c r="U153">
        <f t="shared" si="12"/>
        <v>-1.8000000000000003</v>
      </c>
    </row>
    <row r="154" spans="1:21" x14ac:dyDescent="0.2">
      <c r="A154" s="1" t="s">
        <v>142</v>
      </c>
      <c r="B154" s="1">
        <v>37</v>
      </c>
      <c r="C154" s="1" t="s">
        <v>77</v>
      </c>
      <c r="D154" s="1">
        <v>2</v>
      </c>
      <c r="E154" s="1">
        <v>18.500179728958699</v>
      </c>
      <c r="F154" s="1">
        <v>90.919972178526194</v>
      </c>
      <c r="G154" s="1">
        <v>4.0297739637084301E-2</v>
      </c>
      <c r="H154" s="1">
        <v>105.98164755553</v>
      </c>
      <c r="I154" s="1">
        <v>142.396303815767</v>
      </c>
      <c r="J154" s="1">
        <v>4.2801540767308296E-3</v>
      </c>
      <c r="K154" s="2">
        <v>0.126</v>
      </c>
      <c r="L154" s="1">
        <v>0.23799999999999999</v>
      </c>
      <c r="M154" s="1">
        <v>1.3412999999999999</v>
      </c>
      <c r="N154">
        <v>7.7899999999999997E-2</v>
      </c>
      <c r="O154">
        <v>0.10390000000000001</v>
      </c>
      <c r="P154">
        <v>8.77E-2</v>
      </c>
      <c r="Q154">
        <v>8.9200000000000002E-2</v>
      </c>
      <c r="R154">
        <f t="shared" si="9"/>
        <v>-0.78000000000000014</v>
      </c>
      <c r="S154">
        <f t="shared" si="10"/>
        <v>1.8200000000000007</v>
      </c>
      <c r="T154">
        <f t="shared" si="11"/>
        <v>0.20000000000000018</v>
      </c>
      <c r="U154">
        <f t="shared" si="12"/>
        <v>0.35000000000000031</v>
      </c>
    </row>
    <row r="155" spans="1:21" x14ac:dyDescent="0.2">
      <c r="A155" s="1" t="s">
        <v>142</v>
      </c>
      <c r="B155" s="1">
        <v>37</v>
      </c>
      <c r="C155" s="1" t="s">
        <v>78</v>
      </c>
      <c r="D155" s="1">
        <v>2</v>
      </c>
      <c r="E155" s="1">
        <v>18.500179728958699</v>
      </c>
      <c r="F155" s="1">
        <v>90.919972178526194</v>
      </c>
      <c r="G155" s="1">
        <v>4.0297739637084301E-2</v>
      </c>
      <c r="H155" s="1">
        <v>105.98164755553</v>
      </c>
      <c r="I155" s="1">
        <v>142.396303815767</v>
      </c>
      <c r="J155" s="1">
        <v>4.2801540767308296E-3</v>
      </c>
      <c r="K155" s="2">
        <v>0.1153</v>
      </c>
      <c r="L155" s="1">
        <v>0.24210000000000001</v>
      </c>
      <c r="M155" s="1">
        <v>0.2397</v>
      </c>
      <c r="N155">
        <v>7.9299999999999995E-2</v>
      </c>
      <c r="O155">
        <v>7.5300000000000006E-2</v>
      </c>
      <c r="P155">
        <v>8.2699999999999996E-2</v>
      </c>
      <c r="Q155">
        <v>5.5800000000000002E-2</v>
      </c>
      <c r="R155">
        <f t="shared" si="9"/>
        <v>-0.64000000000000024</v>
      </c>
      <c r="S155">
        <f t="shared" si="10"/>
        <v>-1.0399999999999991</v>
      </c>
      <c r="T155">
        <f t="shared" si="11"/>
        <v>-0.30000000000000027</v>
      </c>
      <c r="U155">
        <f t="shared" si="12"/>
        <v>-2.9899999999999993</v>
      </c>
    </row>
    <row r="156" spans="1:21" x14ac:dyDescent="0.2">
      <c r="A156" s="1" t="s">
        <v>142</v>
      </c>
      <c r="B156" s="1">
        <v>37</v>
      </c>
      <c r="C156" s="1" t="s">
        <v>79</v>
      </c>
      <c r="D156" s="1">
        <v>2</v>
      </c>
      <c r="E156" s="1">
        <v>18.500179728958699</v>
      </c>
      <c r="F156" s="1">
        <v>90.919972178526194</v>
      </c>
      <c r="G156" s="1">
        <v>4.0297739637084301E-2</v>
      </c>
      <c r="H156" s="1">
        <v>105.98164755553</v>
      </c>
      <c r="I156" s="1">
        <v>142.396303815767</v>
      </c>
      <c r="J156" s="1">
        <v>4.2801540767308296E-3</v>
      </c>
      <c r="K156" s="2">
        <v>0.1142</v>
      </c>
      <c r="L156" s="1">
        <v>0.223</v>
      </c>
      <c r="M156" s="1">
        <v>0.2316</v>
      </c>
      <c r="N156">
        <v>8.1799999999999998E-2</v>
      </c>
      <c r="O156">
        <v>9.1399999999999995E-2</v>
      </c>
      <c r="P156">
        <v>8.8099999999999998E-2</v>
      </c>
      <c r="Q156">
        <v>8.6499999999999994E-2</v>
      </c>
      <c r="R156">
        <f t="shared" si="9"/>
        <v>-0.39000000000000007</v>
      </c>
      <c r="S156">
        <f t="shared" si="10"/>
        <v>0.56999999999999962</v>
      </c>
      <c r="T156">
        <f t="shared" si="11"/>
        <v>0.23999999999999994</v>
      </c>
      <c r="U156">
        <f t="shared" si="12"/>
        <v>7.9999999999999516E-2</v>
      </c>
    </row>
    <row r="157" spans="1:21" x14ac:dyDescent="0.2">
      <c r="A157" s="1" t="s">
        <v>142</v>
      </c>
      <c r="B157" s="1">
        <v>37</v>
      </c>
      <c r="C157" s="1" t="s">
        <v>80</v>
      </c>
      <c r="D157" s="1">
        <v>2</v>
      </c>
      <c r="E157" s="1">
        <v>18.500179728958699</v>
      </c>
      <c r="F157" s="1">
        <v>90.919972178526194</v>
      </c>
      <c r="G157" s="1">
        <v>4.0297739637084301E-2</v>
      </c>
      <c r="H157" s="1">
        <v>105.98164755553</v>
      </c>
      <c r="I157" s="1">
        <v>142.396303815767</v>
      </c>
      <c r="J157" s="1">
        <v>4.2801540767308296E-3</v>
      </c>
      <c r="K157" s="2">
        <v>0.1653</v>
      </c>
      <c r="L157" s="1">
        <v>0.16789999999999999</v>
      </c>
      <c r="M157" s="1">
        <v>0.41639999999999999</v>
      </c>
      <c r="N157">
        <v>8.3799999999999999E-2</v>
      </c>
      <c r="O157">
        <v>8.5800000000000001E-2</v>
      </c>
      <c r="P157">
        <v>0.1008</v>
      </c>
      <c r="Q157">
        <v>6.8900000000000003E-2</v>
      </c>
      <c r="R157">
        <f t="shared" si="9"/>
        <v>-0.18999999999999989</v>
      </c>
      <c r="S157">
        <f t="shared" si="10"/>
        <v>1.0000000000000286E-2</v>
      </c>
      <c r="T157">
        <f t="shared" si="11"/>
        <v>1.5100000000000002</v>
      </c>
      <c r="U157">
        <f t="shared" si="12"/>
        <v>-1.6799999999999995</v>
      </c>
    </row>
    <row r="158" spans="1:21" x14ac:dyDescent="0.2">
      <c r="A158" s="1" t="s">
        <v>143</v>
      </c>
      <c r="B158" s="1">
        <v>38</v>
      </c>
      <c r="C158" s="1" t="s">
        <v>82</v>
      </c>
      <c r="D158" s="1">
        <v>2</v>
      </c>
      <c r="E158" s="1">
        <v>38.5946215889416</v>
      </c>
      <c r="F158" s="1">
        <v>15.7117038900032</v>
      </c>
      <c r="G158" s="1">
        <v>8.9123107361234702E-2</v>
      </c>
      <c r="H158" s="1">
        <v>39.705781137198201</v>
      </c>
      <c r="I158" s="1">
        <v>137.87147558759801</v>
      </c>
      <c r="J158" s="1">
        <v>2.1744467029348E-4</v>
      </c>
      <c r="K158" s="2">
        <v>0.23419999999999999</v>
      </c>
      <c r="L158" s="1">
        <v>0.51380000000000003</v>
      </c>
      <c r="M158" s="1">
        <v>1.2199</v>
      </c>
      <c r="N158">
        <v>6.9599999999999995E-2</v>
      </c>
      <c r="O158">
        <v>7.9600000000000004E-2</v>
      </c>
      <c r="P158">
        <v>8.7099999999999997E-2</v>
      </c>
      <c r="Q158">
        <v>5.74E-2</v>
      </c>
      <c r="R158">
        <f t="shared" si="9"/>
        <v>-1.6100000000000003</v>
      </c>
      <c r="S158">
        <f t="shared" si="10"/>
        <v>-0.60999999999999943</v>
      </c>
      <c r="T158">
        <f t="shared" si="11"/>
        <v>0.13999999999999985</v>
      </c>
      <c r="U158">
        <f t="shared" si="12"/>
        <v>-2.8299999999999996</v>
      </c>
    </row>
    <row r="159" spans="1:21" x14ac:dyDescent="0.2">
      <c r="A159" s="1" t="s">
        <v>143</v>
      </c>
      <c r="B159" s="1">
        <v>38</v>
      </c>
      <c r="C159" s="1" t="s">
        <v>83</v>
      </c>
      <c r="D159" s="1">
        <v>2</v>
      </c>
      <c r="E159" s="1">
        <v>38.5946215889416</v>
      </c>
      <c r="F159" s="1">
        <v>15.7117038900032</v>
      </c>
      <c r="G159" s="1">
        <v>8.9123107361234702E-2</v>
      </c>
      <c r="H159" s="1">
        <v>39.705781137198201</v>
      </c>
      <c r="I159" s="1">
        <v>137.87147558759801</v>
      </c>
      <c r="J159" s="1">
        <v>2.1744467029348E-4</v>
      </c>
      <c r="K159" s="2">
        <v>0.222</v>
      </c>
      <c r="L159" s="1">
        <v>0.55579999999999996</v>
      </c>
      <c r="M159" s="1">
        <v>1.0121</v>
      </c>
      <c r="N159">
        <v>6.9599999999999995E-2</v>
      </c>
      <c r="O159">
        <v>6.6600000000000006E-2</v>
      </c>
      <c r="P159">
        <v>0.13830000000000001</v>
      </c>
      <c r="Q159">
        <v>5.8999999999999997E-2</v>
      </c>
      <c r="R159">
        <f t="shared" si="9"/>
        <v>-1.6100000000000003</v>
      </c>
      <c r="S159">
        <f t="shared" si="10"/>
        <v>-1.9099999999999993</v>
      </c>
      <c r="T159">
        <f t="shared" si="11"/>
        <v>5.2600000000000007</v>
      </c>
      <c r="U159">
        <f t="shared" si="12"/>
        <v>-2.67</v>
      </c>
    </row>
    <row r="160" spans="1:21" x14ac:dyDescent="0.2">
      <c r="A160" s="1" t="s">
        <v>143</v>
      </c>
      <c r="B160" s="1">
        <v>38</v>
      </c>
      <c r="C160" s="1" t="s">
        <v>84</v>
      </c>
      <c r="D160" s="1">
        <v>2</v>
      </c>
      <c r="E160" s="1">
        <v>38.5946215889416</v>
      </c>
      <c r="F160" s="1">
        <v>15.7117038900032</v>
      </c>
      <c r="G160" s="1">
        <v>8.9123107361234702E-2</v>
      </c>
      <c r="H160" s="1">
        <v>39.705781137198201</v>
      </c>
      <c r="I160" s="1">
        <v>137.87147558759801</v>
      </c>
      <c r="J160" s="1">
        <v>2.1744467029348E-4</v>
      </c>
      <c r="K160" s="2">
        <v>0.21510000000000001</v>
      </c>
      <c r="L160" s="1">
        <v>0.25559999999999999</v>
      </c>
      <c r="M160" s="1">
        <v>0.61270000000000002</v>
      </c>
      <c r="N160">
        <v>8.4900000000000003E-2</v>
      </c>
      <c r="O160">
        <v>8.3599999999999994E-2</v>
      </c>
      <c r="P160">
        <v>0.105</v>
      </c>
      <c r="Q160">
        <v>6.4000000000000001E-2</v>
      </c>
      <c r="R160">
        <f t="shared" si="9"/>
        <v>-7.9999999999999516E-2</v>
      </c>
      <c r="S160">
        <f t="shared" si="10"/>
        <v>-0.21000000000000046</v>
      </c>
      <c r="T160">
        <f t="shared" si="11"/>
        <v>1.9299999999999997</v>
      </c>
      <c r="U160">
        <f t="shared" si="12"/>
        <v>-2.1699999999999995</v>
      </c>
    </row>
    <row r="161" spans="1:21" x14ac:dyDescent="0.2">
      <c r="A161" s="1" t="s">
        <v>143</v>
      </c>
      <c r="B161" s="1">
        <v>38</v>
      </c>
      <c r="C161" s="1" t="s">
        <v>85</v>
      </c>
      <c r="D161" s="1">
        <v>2</v>
      </c>
      <c r="E161" s="1">
        <v>38.5946215889416</v>
      </c>
      <c r="F161" s="1">
        <v>15.7117038900032</v>
      </c>
      <c r="G161" s="1">
        <v>8.9123107361234702E-2</v>
      </c>
      <c r="H161" s="1">
        <v>39.705781137198201</v>
      </c>
      <c r="I161" s="1">
        <v>137.87147558759801</v>
      </c>
      <c r="J161" s="1">
        <v>2.1744467029348E-4</v>
      </c>
      <c r="K161" s="2">
        <v>0.54500000000000004</v>
      </c>
      <c r="L161" s="1">
        <v>0.2833</v>
      </c>
      <c r="M161" s="1">
        <v>0.58840000000000003</v>
      </c>
      <c r="N161">
        <v>7.0699999999999999E-2</v>
      </c>
      <c r="O161">
        <v>6.93E-2</v>
      </c>
      <c r="P161">
        <v>7.9699999999999993E-2</v>
      </c>
      <c r="Q161">
        <v>5.4300000000000001E-2</v>
      </c>
      <c r="R161">
        <f t="shared" si="9"/>
        <v>-1.5</v>
      </c>
      <c r="S161">
        <f t="shared" si="10"/>
        <v>-1.6399999999999997</v>
      </c>
      <c r="T161">
        <f t="shared" si="11"/>
        <v>-0.60000000000000053</v>
      </c>
      <c r="U161">
        <f t="shared" si="12"/>
        <v>-3.1399999999999997</v>
      </c>
    </row>
    <row r="162" spans="1:21" x14ac:dyDescent="0.2">
      <c r="A162" s="1" t="s">
        <v>144</v>
      </c>
      <c r="B162" s="1">
        <v>39</v>
      </c>
      <c r="C162" s="1" t="s">
        <v>87</v>
      </c>
      <c r="D162" s="1">
        <v>2</v>
      </c>
      <c r="E162" s="1">
        <v>49.265525232069102</v>
      </c>
      <c r="F162" s="1">
        <v>85.1093476489186</v>
      </c>
      <c r="G162" s="1">
        <v>6.7659279191680202E-2</v>
      </c>
      <c r="H162" s="1">
        <v>59.821484407782499</v>
      </c>
      <c r="I162" s="1">
        <v>140.75643429066901</v>
      </c>
      <c r="J162" s="1">
        <v>3.7062495880294502E-3</v>
      </c>
      <c r="K162" s="2">
        <v>0.74980000000000002</v>
      </c>
      <c r="L162" s="1">
        <v>0.23580000000000001</v>
      </c>
      <c r="M162" s="1">
        <v>0.51280000000000003</v>
      </c>
      <c r="N162">
        <v>7.0900000000000005E-2</v>
      </c>
      <c r="O162">
        <v>6.9599999999999995E-2</v>
      </c>
      <c r="P162">
        <v>7.5300000000000006E-2</v>
      </c>
      <c r="Q162">
        <v>7.0900000000000005E-2</v>
      </c>
      <c r="R162">
        <f t="shared" si="9"/>
        <v>-1.4799999999999993</v>
      </c>
      <c r="S162">
        <f t="shared" si="10"/>
        <v>-1.6100000000000003</v>
      </c>
      <c r="T162">
        <f t="shared" si="11"/>
        <v>-1.0399999999999991</v>
      </c>
      <c r="U162">
        <f t="shared" si="12"/>
        <v>-1.4799999999999993</v>
      </c>
    </row>
    <row r="163" spans="1:21" x14ac:dyDescent="0.2">
      <c r="A163" s="1" t="s">
        <v>144</v>
      </c>
      <c r="B163" s="1">
        <v>39</v>
      </c>
      <c r="C163" s="1" t="s">
        <v>88</v>
      </c>
      <c r="D163" s="1">
        <v>2</v>
      </c>
      <c r="E163" s="1">
        <v>49.265525232069102</v>
      </c>
      <c r="F163" s="1">
        <v>85.1093476489186</v>
      </c>
      <c r="G163" s="1">
        <v>6.7659279191680202E-2</v>
      </c>
      <c r="H163" s="1">
        <v>59.821484407782499</v>
      </c>
      <c r="I163" s="1">
        <v>140.75643429066901</v>
      </c>
      <c r="J163" s="1">
        <v>3.7062495880294502E-3</v>
      </c>
      <c r="K163" s="2">
        <v>0.1067</v>
      </c>
      <c r="L163" s="1">
        <v>0.25659999999999999</v>
      </c>
      <c r="M163" s="1">
        <v>0.53339999999999999</v>
      </c>
      <c r="N163">
        <v>7.1400000000000005E-2</v>
      </c>
      <c r="O163">
        <v>8.9300000000000004E-2</v>
      </c>
      <c r="P163">
        <v>7.8399999999999997E-2</v>
      </c>
      <c r="Q163">
        <v>5.7000000000000002E-2</v>
      </c>
      <c r="R163">
        <f t="shared" si="9"/>
        <v>-1.4299999999999993</v>
      </c>
      <c r="S163">
        <f t="shared" si="10"/>
        <v>0.3600000000000006</v>
      </c>
      <c r="T163">
        <f t="shared" si="11"/>
        <v>-0.73000000000000009</v>
      </c>
      <c r="U163">
        <f t="shared" si="12"/>
        <v>-2.8699999999999997</v>
      </c>
    </row>
    <row r="164" spans="1:21" x14ac:dyDescent="0.2">
      <c r="A164" s="1" t="s">
        <v>144</v>
      </c>
      <c r="B164" s="1">
        <v>39</v>
      </c>
      <c r="C164" s="1" t="s">
        <v>89</v>
      </c>
      <c r="D164" s="1">
        <v>2</v>
      </c>
      <c r="E164" s="1">
        <v>49.265525232069102</v>
      </c>
      <c r="F164" s="1">
        <v>85.1093476489186</v>
      </c>
      <c r="G164" s="1">
        <v>6.7659279191680202E-2</v>
      </c>
      <c r="H164" s="1">
        <v>59.821484407782499</v>
      </c>
      <c r="I164" s="1">
        <v>140.75643429066901</v>
      </c>
      <c r="J164" s="1">
        <v>3.7062495880294502E-3</v>
      </c>
      <c r="K164" s="2">
        <v>0.1157</v>
      </c>
      <c r="L164" s="1">
        <v>0.2432</v>
      </c>
      <c r="M164" s="1">
        <v>0.58760000000000001</v>
      </c>
      <c r="N164">
        <v>7.6200000000000004E-2</v>
      </c>
      <c r="O164">
        <v>0.1036</v>
      </c>
      <c r="P164">
        <v>7.5700000000000003E-2</v>
      </c>
      <c r="Q164">
        <v>5.5300000000000002E-2</v>
      </c>
      <c r="R164">
        <f t="shared" si="9"/>
        <v>-0.9499999999999994</v>
      </c>
      <c r="S164">
        <f t="shared" si="10"/>
        <v>1.7899999999999998</v>
      </c>
      <c r="T164">
        <f t="shared" si="11"/>
        <v>-0.99999999999999944</v>
      </c>
      <c r="U164">
        <f t="shared" si="12"/>
        <v>-3.0399999999999996</v>
      </c>
    </row>
    <row r="165" spans="1:21" x14ac:dyDescent="0.2">
      <c r="A165" s="1" t="s">
        <v>144</v>
      </c>
      <c r="B165" s="1">
        <v>39</v>
      </c>
      <c r="C165" s="1" t="s">
        <v>90</v>
      </c>
      <c r="D165" s="1">
        <v>2</v>
      </c>
      <c r="E165" s="1">
        <v>49.265525232069102</v>
      </c>
      <c r="F165" s="1">
        <v>85.1093476489186</v>
      </c>
      <c r="G165" s="1">
        <v>6.7659279191680202E-2</v>
      </c>
      <c r="H165" s="1">
        <v>59.821484407782499</v>
      </c>
      <c r="I165" s="1">
        <v>140.75643429066901</v>
      </c>
      <c r="J165" s="1">
        <v>3.7062495880294502E-3</v>
      </c>
      <c r="K165" s="2">
        <v>0.126</v>
      </c>
      <c r="L165" s="1">
        <v>0.24099999999999999</v>
      </c>
      <c r="M165" s="1">
        <v>0.56679999999999997</v>
      </c>
      <c r="N165">
        <v>8.4500000000000006E-2</v>
      </c>
      <c r="O165">
        <v>0.37509999999999999</v>
      </c>
      <c r="P165">
        <v>8.72E-2</v>
      </c>
      <c r="Q165">
        <v>5.9299999999999999E-2</v>
      </c>
      <c r="R165">
        <f t="shared" si="9"/>
        <v>-0.11999999999999927</v>
      </c>
      <c r="S165">
        <f t="shared" si="10"/>
        <v>28.939999999999998</v>
      </c>
      <c r="T165">
        <f t="shared" si="11"/>
        <v>0.15000000000000013</v>
      </c>
      <c r="U165">
        <f t="shared" si="12"/>
        <v>-2.64</v>
      </c>
    </row>
    <row r="166" spans="1:21" x14ac:dyDescent="0.2">
      <c r="A166" s="1" t="s">
        <v>145</v>
      </c>
      <c r="B166" s="1">
        <v>40</v>
      </c>
      <c r="C166" s="1" t="s">
        <v>92</v>
      </c>
      <c r="D166" s="1">
        <v>2</v>
      </c>
      <c r="E166" s="1">
        <v>45.381528395228003</v>
      </c>
      <c r="F166" s="1">
        <v>9.4115784196182997</v>
      </c>
      <c r="G166" s="1">
        <v>1.44572113450616E-2</v>
      </c>
      <c r="H166" s="1">
        <v>26.8306031621992</v>
      </c>
      <c r="I166" s="1">
        <v>67.9171739984303</v>
      </c>
      <c r="J166" s="1">
        <v>4.3032996600493702E-3</v>
      </c>
      <c r="K166" s="2">
        <v>0.27079999999999999</v>
      </c>
      <c r="L166" s="1">
        <v>1.2454000000000001</v>
      </c>
      <c r="M166" s="1">
        <v>0.28599999999999998</v>
      </c>
      <c r="N166">
        <v>6.6600000000000006E-2</v>
      </c>
      <c r="O166">
        <v>6.7500000000000004E-2</v>
      </c>
      <c r="P166">
        <v>0.10780000000000001</v>
      </c>
      <c r="Q166">
        <v>5.6000000000000001E-2</v>
      </c>
      <c r="R166">
        <f t="shared" si="9"/>
        <v>-1.9099999999999993</v>
      </c>
      <c r="S166">
        <f t="shared" si="10"/>
        <v>-1.8199999999999994</v>
      </c>
      <c r="T166">
        <f t="shared" si="11"/>
        <v>2.2100000000000009</v>
      </c>
      <c r="U166">
        <f t="shared" si="12"/>
        <v>-2.9699999999999998</v>
      </c>
    </row>
    <row r="167" spans="1:21" x14ac:dyDescent="0.2">
      <c r="A167" s="1" t="s">
        <v>145</v>
      </c>
      <c r="B167" s="1">
        <v>40</v>
      </c>
      <c r="C167" s="1" t="s">
        <v>93</v>
      </c>
      <c r="D167" s="1">
        <v>2</v>
      </c>
      <c r="E167" s="1">
        <v>45.381528395228003</v>
      </c>
      <c r="F167" s="1">
        <v>9.4115784196182997</v>
      </c>
      <c r="G167" s="1">
        <v>1.44572113450616E-2</v>
      </c>
      <c r="H167" s="1">
        <v>26.8306031621992</v>
      </c>
      <c r="I167" s="1">
        <v>67.9171739984303</v>
      </c>
      <c r="J167" s="1">
        <v>4.3032996600493702E-3</v>
      </c>
      <c r="K167" s="2">
        <v>0.2472</v>
      </c>
      <c r="L167" s="1">
        <v>1.1821999999999999</v>
      </c>
      <c r="M167" s="1">
        <v>0.28460000000000002</v>
      </c>
      <c r="N167">
        <v>6.8400000000000002E-2</v>
      </c>
      <c r="O167">
        <v>6.83E-2</v>
      </c>
      <c r="P167">
        <v>0.1232</v>
      </c>
      <c r="Q167">
        <v>5.5599999999999997E-2</v>
      </c>
      <c r="R167">
        <f t="shared" si="9"/>
        <v>-1.7299999999999995</v>
      </c>
      <c r="S167">
        <f t="shared" si="10"/>
        <v>-1.7399999999999998</v>
      </c>
      <c r="T167">
        <f t="shared" si="11"/>
        <v>3.7500000000000004</v>
      </c>
      <c r="U167">
        <f t="shared" si="12"/>
        <v>-3.0100000000000002</v>
      </c>
    </row>
    <row r="168" spans="1:21" x14ac:dyDescent="0.2">
      <c r="A168" s="1" t="s">
        <v>145</v>
      </c>
      <c r="B168" s="1">
        <v>40</v>
      </c>
      <c r="C168" s="1" t="s">
        <v>94</v>
      </c>
      <c r="D168" s="1">
        <v>2</v>
      </c>
      <c r="E168" s="1">
        <v>45.381528395228003</v>
      </c>
      <c r="F168" s="1">
        <v>9.4115784196182997</v>
      </c>
      <c r="G168" s="1">
        <v>1.44572113450616E-2</v>
      </c>
      <c r="H168" s="1">
        <v>26.8306031621992</v>
      </c>
      <c r="I168" s="1">
        <v>67.9171739984303</v>
      </c>
      <c r="J168" s="1">
        <v>4.3032996600493702E-3</v>
      </c>
      <c r="K168" s="2">
        <v>0.22839999999999999</v>
      </c>
      <c r="L168" s="1">
        <v>1.3748</v>
      </c>
      <c r="M168" s="1">
        <v>0.31690000000000002</v>
      </c>
      <c r="N168">
        <v>8.1199999999999994E-2</v>
      </c>
      <c r="O168">
        <v>8.3799999999999999E-2</v>
      </c>
      <c r="P168">
        <v>1.0666</v>
      </c>
      <c r="Q168">
        <v>6.1100000000000002E-2</v>
      </c>
      <c r="R168">
        <f t="shared" si="9"/>
        <v>-0.4500000000000004</v>
      </c>
      <c r="S168">
        <f t="shared" si="10"/>
        <v>-0.18999999999999989</v>
      </c>
      <c r="T168">
        <f t="shared" si="11"/>
        <v>98.09</v>
      </c>
      <c r="U168">
        <f t="shared" si="12"/>
        <v>-2.4599999999999995</v>
      </c>
    </row>
    <row r="169" spans="1:21" x14ac:dyDescent="0.2">
      <c r="A169" s="1" t="s">
        <v>145</v>
      </c>
      <c r="B169" s="1">
        <v>40</v>
      </c>
      <c r="C169" s="1" t="s">
        <v>95</v>
      </c>
      <c r="D169" s="1">
        <v>2</v>
      </c>
      <c r="E169" s="1">
        <v>45.381528395228003</v>
      </c>
      <c r="F169" s="1">
        <v>9.4115784196182997</v>
      </c>
      <c r="G169" s="1">
        <v>1.44572113450616E-2</v>
      </c>
      <c r="H169" s="1">
        <v>26.8306031621992</v>
      </c>
      <c r="I169" s="1">
        <v>67.9171739984303</v>
      </c>
      <c r="J169" s="1">
        <v>4.3032996600493702E-3</v>
      </c>
      <c r="K169" s="2">
        <v>0.22070000000000001</v>
      </c>
      <c r="L169" s="1">
        <v>0.64910000000000001</v>
      </c>
      <c r="M169" s="1">
        <v>0.50780000000000003</v>
      </c>
      <c r="N169">
        <v>6.4399999999999999E-2</v>
      </c>
      <c r="O169">
        <v>6.6000000000000003E-2</v>
      </c>
      <c r="P169">
        <v>8.8400000000000006E-2</v>
      </c>
      <c r="Q169">
        <v>5.3600000000000002E-2</v>
      </c>
      <c r="R169">
        <f t="shared" si="9"/>
        <v>-2.13</v>
      </c>
      <c r="S169">
        <f t="shared" si="10"/>
        <v>-1.9699999999999995</v>
      </c>
      <c r="T169">
        <f t="shared" si="11"/>
        <v>0.27000000000000079</v>
      </c>
      <c r="U169">
        <f t="shared" si="12"/>
        <v>-3.2099999999999995</v>
      </c>
    </row>
    <row r="170" spans="1:21" x14ac:dyDescent="0.2">
      <c r="A170" s="1" t="s">
        <v>146</v>
      </c>
      <c r="B170" s="1">
        <v>41</v>
      </c>
      <c r="C170" s="1" t="s">
        <v>97</v>
      </c>
      <c r="D170" s="1">
        <v>2</v>
      </c>
      <c r="E170" s="1">
        <v>2.9006339437328199</v>
      </c>
      <c r="F170" s="1">
        <v>70.376578887924495</v>
      </c>
      <c r="G170" s="1">
        <v>5.2152873143739904E-2</v>
      </c>
      <c r="H170" s="1">
        <v>112.10436735078601</v>
      </c>
      <c r="I170" s="1">
        <v>52.931158673018203</v>
      </c>
      <c r="J170" s="1">
        <v>4.18659281847067E-3</v>
      </c>
      <c r="K170" s="2">
        <v>0.1196</v>
      </c>
      <c r="L170" s="1">
        <v>0.24460000000000001</v>
      </c>
      <c r="M170" s="1">
        <v>0.20680000000000001</v>
      </c>
      <c r="N170">
        <v>7.9500000000000001E-2</v>
      </c>
      <c r="O170">
        <v>7.46E-2</v>
      </c>
      <c r="P170">
        <v>8.6400000000000005E-2</v>
      </c>
      <c r="Q170">
        <v>5.3199999999999997E-2</v>
      </c>
      <c r="R170">
        <f t="shared" si="9"/>
        <v>-0.61999999999999966</v>
      </c>
      <c r="S170">
        <f t="shared" si="10"/>
        <v>-1.1099999999999999</v>
      </c>
      <c r="T170">
        <f t="shared" si="11"/>
        <v>7.0000000000000617E-2</v>
      </c>
      <c r="U170">
        <f t="shared" si="12"/>
        <v>-3.25</v>
      </c>
    </row>
    <row r="171" spans="1:21" x14ac:dyDescent="0.2">
      <c r="A171" s="1" t="s">
        <v>146</v>
      </c>
      <c r="B171" s="1">
        <v>41</v>
      </c>
      <c r="C171" s="1" t="s">
        <v>98</v>
      </c>
      <c r="D171" s="1">
        <v>2</v>
      </c>
      <c r="E171" s="1">
        <v>2.9006339437328199</v>
      </c>
      <c r="F171" s="1">
        <v>70.376578887924495</v>
      </c>
      <c r="G171" s="1">
        <v>5.2152873143739904E-2</v>
      </c>
      <c r="H171" s="1">
        <v>112.10436735078601</v>
      </c>
      <c r="I171" s="1">
        <v>52.931158673018203</v>
      </c>
      <c r="J171" s="1">
        <v>4.18659281847067E-3</v>
      </c>
      <c r="K171" s="2">
        <v>0.1138</v>
      </c>
      <c r="L171" s="1">
        <v>0.18210000000000001</v>
      </c>
      <c r="M171" s="1">
        <v>0.44840000000000002</v>
      </c>
      <c r="N171">
        <v>8.2600000000000007E-2</v>
      </c>
      <c r="O171">
        <v>7.8200000000000006E-2</v>
      </c>
      <c r="P171">
        <v>8.0199999999999994E-2</v>
      </c>
      <c r="Q171">
        <v>7.0999999999999994E-2</v>
      </c>
      <c r="R171">
        <f t="shared" si="9"/>
        <v>-0.30999999999999917</v>
      </c>
      <c r="S171">
        <f t="shared" si="10"/>
        <v>-0.74999999999999922</v>
      </c>
      <c r="T171">
        <f t="shared" si="11"/>
        <v>-0.55000000000000049</v>
      </c>
      <c r="U171">
        <f t="shared" si="12"/>
        <v>-1.4700000000000004</v>
      </c>
    </row>
    <row r="172" spans="1:21" x14ac:dyDescent="0.2">
      <c r="A172" s="1" t="s">
        <v>146</v>
      </c>
      <c r="B172" s="1">
        <v>41</v>
      </c>
      <c r="C172" s="1" t="s">
        <v>99</v>
      </c>
      <c r="D172" s="1">
        <v>2</v>
      </c>
      <c r="E172" s="1">
        <v>2.9006339437328199</v>
      </c>
      <c r="F172" s="1">
        <v>70.376578887924495</v>
      </c>
      <c r="G172" s="1">
        <v>5.2152873143739904E-2</v>
      </c>
      <c r="H172" s="1">
        <v>112.10436735078601</v>
      </c>
      <c r="I172" s="1">
        <v>52.931158673018203</v>
      </c>
      <c r="J172" s="1">
        <v>4.18659281847067E-3</v>
      </c>
      <c r="K172" s="2">
        <v>0.13139999999999999</v>
      </c>
      <c r="L172" s="1">
        <v>0.2651</v>
      </c>
      <c r="M172" s="1">
        <v>0.3342</v>
      </c>
      <c r="N172">
        <v>8.4900000000000003E-2</v>
      </c>
      <c r="O172">
        <v>9.69E-2</v>
      </c>
      <c r="P172">
        <v>8.5999999999999993E-2</v>
      </c>
      <c r="Q172">
        <v>5.6599999999999998E-2</v>
      </c>
      <c r="R172">
        <f t="shared" si="9"/>
        <v>-7.9999999999999516E-2</v>
      </c>
      <c r="S172">
        <f t="shared" si="10"/>
        <v>1.1200000000000001</v>
      </c>
      <c r="T172">
        <f t="shared" si="11"/>
        <v>2.9999999999999472E-2</v>
      </c>
      <c r="U172">
        <f t="shared" si="12"/>
        <v>-2.91</v>
      </c>
    </row>
    <row r="173" spans="1:21" x14ac:dyDescent="0.2">
      <c r="A173" s="1" t="s">
        <v>146</v>
      </c>
      <c r="B173" s="1">
        <v>41</v>
      </c>
      <c r="C173" s="1" t="s">
        <v>100</v>
      </c>
      <c r="D173" s="1">
        <v>2</v>
      </c>
      <c r="E173" s="1">
        <v>2.9006339437328199</v>
      </c>
      <c r="F173" s="1">
        <v>70.376578887924495</v>
      </c>
      <c r="G173" s="1">
        <v>5.2152873143739904E-2</v>
      </c>
      <c r="H173" s="1">
        <v>112.10436735078601</v>
      </c>
      <c r="I173" s="1">
        <v>52.931158673018203</v>
      </c>
      <c r="J173" s="1">
        <v>4.18659281847067E-3</v>
      </c>
      <c r="K173" s="2">
        <v>0.12570000000000001</v>
      </c>
      <c r="L173" s="1">
        <v>0.24099999999999999</v>
      </c>
      <c r="M173" s="1">
        <v>0.33910000000000001</v>
      </c>
      <c r="N173">
        <v>9.5299999999999996E-2</v>
      </c>
      <c r="O173">
        <v>9.0399999999999994E-2</v>
      </c>
      <c r="P173">
        <v>9.5100000000000004E-2</v>
      </c>
      <c r="Q173">
        <v>5.5800000000000002E-2</v>
      </c>
      <c r="R173">
        <f t="shared" si="9"/>
        <v>0.95999999999999974</v>
      </c>
      <c r="S173">
        <f t="shared" si="10"/>
        <v>0.46999999999999958</v>
      </c>
      <c r="T173">
        <f t="shared" si="11"/>
        <v>0.9400000000000005</v>
      </c>
      <c r="U173">
        <f t="shared" si="12"/>
        <v>-2.9899999999999993</v>
      </c>
    </row>
    <row r="174" spans="1:21" x14ac:dyDescent="0.2">
      <c r="A174" s="1" t="s">
        <v>147</v>
      </c>
      <c r="B174" s="1">
        <v>42</v>
      </c>
      <c r="C174" s="1" t="s">
        <v>102</v>
      </c>
      <c r="D174" s="1">
        <v>2</v>
      </c>
      <c r="E174" s="1">
        <v>14.0142893805168</v>
      </c>
      <c r="F174" s="1">
        <v>82.397163473069597</v>
      </c>
      <c r="G174" s="1">
        <v>5.9735033140703997E-2</v>
      </c>
      <c r="H174" s="1">
        <v>83.632818857580403</v>
      </c>
      <c r="I174" s="1">
        <v>88.549468168057501</v>
      </c>
      <c r="J174" s="1">
        <v>3.88419529017992E-3</v>
      </c>
      <c r="K174" s="2">
        <v>0.12590000000000001</v>
      </c>
      <c r="L174" s="1">
        <v>0.27839999999999998</v>
      </c>
      <c r="M174" s="1">
        <v>0.31640000000000001</v>
      </c>
      <c r="N174">
        <v>8.4400000000000003E-2</v>
      </c>
      <c r="O174">
        <v>7.7600000000000002E-2</v>
      </c>
      <c r="P174">
        <v>8.2699999999999996E-2</v>
      </c>
      <c r="Q174">
        <v>5.57E-2</v>
      </c>
      <c r="R174">
        <f t="shared" si="9"/>
        <v>-0.12999999999999956</v>
      </c>
      <c r="S174">
        <f t="shared" si="10"/>
        <v>-0.80999999999999961</v>
      </c>
      <c r="T174">
        <f t="shared" si="11"/>
        <v>-0.30000000000000027</v>
      </c>
      <c r="U174">
        <f t="shared" si="12"/>
        <v>-3</v>
      </c>
    </row>
    <row r="175" spans="1:21" x14ac:dyDescent="0.2">
      <c r="A175" s="1" t="s">
        <v>147</v>
      </c>
      <c r="B175" s="1">
        <v>42</v>
      </c>
      <c r="C175" s="1" t="s">
        <v>103</v>
      </c>
      <c r="D175" s="1">
        <v>2</v>
      </c>
      <c r="E175" s="1">
        <v>14.0142893805168</v>
      </c>
      <c r="F175" s="1">
        <v>82.397163473069597</v>
      </c>
      <c r="G175" s="1">
        <v>5.9735033140703997E-2</v>
      </c>
      <c r="H175" s="1">
        <v>83.632818857580403</v>
      </c>
      <c r="I175" s="1">
        <v>88.549468168057501</v>
      </c>
      <c r="J175" s="1">
        <v>3.88419529017992E-3</v>
      </c>
      <c r="K175" s="2">
        <v>0.12189999999999999</v>
      </c>
      <c r="L175" s="1">
        <v>0.26769999999999999</v>
      </c>
      <c r="M175" s="1">
        <v>0.26250000000000001</v>
      </c>
      <c r="N175">
        <v>8.5000000000000006E-2</v>
      </c>
      <c r="O175">
        <v>7.9899999999999999E-2</v>
      </c>
      <c r="P175">
        <v>8.6900000000000005E-2</v>
      </c>
      <c r="Q175">
        <v>5.5199999999999999E-2</v>
      </c>
      <c r="R175">
        <f t="shared" si="9"/>
        <v>-6.999999999999923E-2</v>
      </c>
      <c r="S175">
        <f t="shared" si="10"/>
        <v>-0.57999999999999996</v>
      </c>
      <c r="T175">
        <f t="shared" si="11"/>
        <v>0.12000000000000066</v>
      </c>
      <c r="U175">
        <f t="shared" si="12"/>
        <v>-3.05</v>
      </c>
    </row>
    <row r="176" spans="1:21" x14ac:dyDescent="0.2">
      <c r="A176" s="1" t="s">
        <v>147</v>
      </c>
      <c r="B176" s="1">
        <v>42</v>
      </c>
      <c r="C176" s="1" t="s">
        <v>104</v>
      </c>
      <c r="D176" s="1">
        <v>2</v>
      </c>
      <c r="E176" s="1">
        <v>14.0142893805168</v>
      </c>
      <c r="F176" s="1">
        <v>82.397163473069597</v>
      </c>
      <c r="G176" s="1">
        <v>5.9735033140703997E-2</v>
      </c>
      <c r="H176" s="1">
        <v>83.632818857580403</v>
      </c>
      <c r="I176" s="1">
        <v>88.549468168057501</v>
      </c>
      <c r="J176" s="1">
        <v>3.88419529017992E-3</v>
      </c>
      <c r="K176" s="2">
        <v>0.16750000000000001</v>
      </c>
      <c r="L176" s="1">
        <v>0.28410000000000002</v>
      </c>
      <c r="M176" s="1">
        <v>0.23730000000000001</v>
      </c>
      <c r="N176">
        <v>8.7400000000000005E-2</v>
      </c>
      <c r="O176">
        <v>0.153</v>
      </c>
      <c r="P176">
        <v>8.9300000000000004E-2</v>
      </c>
      <c r="Q176">
        <v>6.1699999999999998E-2</v>
      </c>
      <c r="R176">
        <f t="shared" si="9"/>
        <v>0.17000000000000071</v>
      </c>
      <c r="S176">
        <f t="shared" si="10"/>
        <v>6.7299999999999995</v>
      </c>
      <c r="T176">
        <f t="shared" si="11"/>
        <v>0.3600000000000006</v>
      </c>
      <c r="U176">
        <f t="shared" si="12"/>
        <v>-2.4</v>
      </c>
    </row>
    <row r="177" spans="1:21" x14ac:dyDescent="0.2">
      <c r="A177" s="1" t="s">
        <v>147</v>
      </c>
      <c r="B177" s="1">
        <v>42</v>
      </c>
      <c r="C177" s="1" t="s">
        <v>105</v>
      </c>
      <c r="D177" s="1">
        <v>2</v>
      </c>
      <c r="E177" s="1">
        <v>14.0142893805168</v>
      </c>
      <c r="F177" s="1">
        <v>82.397163473069597</v>
      </c>
      <c r="G177" s="1">
        <v>5.9735033140703997E-2</v>
      </c>
      <c r="H177" s="1">
        <v>83.632818857580403</v>
      </c>
      <c r="I177" s="1">
        <v>88.549468168057501</v>
      </c>
      <c r="J177" s="1">
        <v>3.88419529017992E-3</v>
      </c>
      <c r="K177" s="2">
        <v>0.4879</v>
      </c>
      <c r="L177" s="1">
        <v>0.26740000000000003</v>
      </c>
      <c r="M177" s="1">
        <v>0.22900000000000001</v>
      </c>
      <c r="N177">
        <v>7.4999999999999997E-2</v>
      </c>
      <c r="O177">
        <v>7.2800000000000004E-2</v>
      </c>
      <c r="P177">
        <v>8.0100000000000005E-2</v>
      </c>
      <c r="Q177">
        <v>5.2200000000000003E-2</v>
      </c>
      <c r="R177">
        <f t="shared" si="9"/>
        <v>-1.07</v>
      </c>
      <c r="S177">
        <f t="shared" si="10"/>
        <v>-1.2899999999999994</v>
      </c>
      <c r="T177">
        <f t="shared" si="11"/>
        <v>-0.55999999999999939</v>
      </c>
      <c r="U177">
        <f t="shared" si="12"/>
        <v>-3.3499999999999996</v>
      </c>
    </row>
    <row r="178" spans="1:21" x14ac:dyDescent="0.2">
      <c r="A178" s="1" t="s">
        <v>148</v>
      </c>
      <c r="B178" s="1">
        <v>43</v>
      </c>
      <c r="C178" s="1" t="s">
        <v>107</v>
      </c>
      <c r="D178" s="1">
        <v>2</v>
      </c>
      <c r="E178" s="1">
        <v>13.3884764108806</v>
      </c>
      <c r="F178" s="1">
        <v>45.011577722616401</v>
      </c>
      <c r="G178" s="1">
        <v>9.7785456410236601E-2</v>
      </c>
      <c r="H178" s="1">
        <v>115.496334759145</v>
      </c>
      <c r="I178" s="1">
        <v>76.261249138042302</v>
      </c>
      <c r="J178" s="1">
        <v>4.4302712501492298E-3</v>
      </c>
      <c r="K178" s="2">
        <v>0.13350000000000001</v>
      </c>
      <c r="L178" s="1">
        <v>0.24490000000000001</v>
      </c>
      <c r="M178" s="1">
        <v>0.3201</v>
      </c>
      <c r="N178">
        <v>7.2400000000000006E-2</v>
      </c>
      <c r="O178">
        <v>7.0599999999999996E-2</v>
      </c>
      <c r="P178">
        <v>8.3500000000000005E-2</v>
      </c>
      <c r="Q178">
        <v>9.3399999999999997E-2</v>
      </c>
      <c r="R178">
        <f t="shared" si="9"/>
        <v>-1.3299999999999992</v>
      </c>
      <c r="S178">
        <f t="shared" si="10"/>
        <v>-1.5100000000000002</v>
      </c>
      <c r="T178">
        <f t="shared" si="11"/>
        <v>-0.21999999999999936</v>
      </c>
      <c r="U178">
        <f t="shared" si="12"/>
        <v>0.7699999999999998</v>
      </c>
    </row>
    <row r="179" spans="1:21" x14ac:dyDescent="0.2">
      <c r="A179" s="1" t="s">
        <v>148</v>
      </c>
      <c r="B179" s="1">
        <v>43</v>
      </c>
      <c r="C179" s="1" t="s">
        <v>108</v>
      </c>
      <c r="D179" s="1">
        <v>2</v>
      </c>
      <c r="E179" s="1">
        <v>13.3884764108806</v>
      </c>
      <c r="F179" s="1">
        <v>45.011577722616401</v>
      </c>
      <c r="G179" s="1">
        <v>9.7785456410236601E-2</v>
      </c>
      <c r="H179" s="1">
        <v>115.496334759145</v>
      </c>
      <c r="I179" s="1">
        <v>76.261249138042302</v>
      </c>
      <c r="J179" s="1">
        <v>4.4302712501492298E-3</v>
      </c>
      <c r="K179" s="2">
        <v>9.9900000000000003E-2</v>
      </c>
      <c r="L179" s="1">
        <v>0.21820000000000001</v>
      </c>
      <c r="M179" s="1">
        <v>0.39</v>
      </c>
      <c r="N179">
        <v>7.1400000000000005E-2</v>
      </c>
      <c r="O179">
        <v>6.8699999999999997E-2</v>
      </c>
      <c r="P179">
        <v>8.4099999999999994E-2</v>
      </c>
      <c r="Q179">
        <v>5.6500000000000002E-2</v>
      </c>
      <c r="R179">
        <f t="shared" si="9"/>
        <v>-1.4299999999999993</v>
      </c>
      <c r="S179">
        <f t="shared" si="10"/>
        <v>-1.7000000000000002</v>
      </c>
      <c r="T179">
        <f t="shared" si="11"/>
        <v>-0.16000000000000042</v>
      </c>
      <c r="U179">
        <f t="shared" si="12"/>
        <v>-2.9199999999999995</v>
      </c>
    </row>
    <row r="180" spans="1:21" x14ac:dyDescent="0.2">
      <c r="A180" s="1" t="s">
        <v>148</v>
      </c>
      <c r="B180" s="1">
        <v>43</v>
      </c>
      <c r="C180" s="1" t="s">
        <v>109</v>
      </c>
      <c r="D180" s="1">
        <v>2</v>
      </c>
      <c r="E180" s="1">
        <v>13.3884764108806</v>
      </c>
      <c r="F180" s="1">
        <v>45.011577722616401</v>
      </c>
      <c r="G180" s="1">
        <v>9.7785456410236601E-2</v>
      </c>
      <c r="H180" s="1">
        <v>115.496334759145</v>
      </c>
      <c r="I180" s="1">
        <v>76.261249138042302</v>
      </c>
      <c r="J180" s="1">
        <v>4.4302712501492298E-3</v>
      </c>
      <c r="K180" s="2">
        <v>0.1222</v>
      </c>
      <c r="L180" s="1">
        <v>0.2999</v>
      </c>
      <c r="M180" s="1">
        <v>0.318</v>
      </c>
      <c r="N180">
        <v>7.9000000000000001E-2</v>
      </c>
      <c r="O180">
        <v>0.1202</v>
      </c>
      <c r="P180">
        <v>8.5900000000000004E-2</v>
      </c>
      <c r="Q180">
        <v>5.2299999999999999E-2</v>
      </c>
      <c r="R180">
        <f t="shared" si="9"/>
        <v>-0.66999999999999971</v>
      </c>
      <c r="S180">
        <f t="shared" si="10"/>
        <v>3.45</v>
      </c>
      <c r="T180">
        <f t="shared" si="11"/>
        <v>2.0000000000000573E-2</v>
      </c>
      <c r="U180">
        <f t="shared" si="12"/>
        <v>-3.34</v>
      </c>
    </row>
    <row r="181" spans="1:21" x14ac:dyDescent="0.2">
      <c r="A181" s="1" t="s">
        <v>148</v>
      </c>
      <c r="B181" s="1">
        <v>43</v>
      </c>
      <c r="C181" s="1" t="s">
        <v>110</v>
      </c>
      <c r="D181" s="1">
        <v>2</v>
      </c>
      <c r="E181" s="1">
        <v>13.3884764108806</v>
      </c>
      <c r="F181" s="1">
        <v>45.011577722616401</v>
      </c>
      <c r="G181" s="1">
        <v>9.7785456410236601E-2</v>
      </c>
      <c r="H181" s="1">
        <v>115.496334759145</v>
      </c>
      <c r="I181" s="1">
        <v>76.261249138042302</v>
      </c>
      <c r="J181" s="1">
        <v>4.4302712501492298E-3</v>
      </c>
      <c r="K181" s="2">
        <v>0.1298</v>
      </c>
      <c r="L181" s="1">
        <v>0.2671</v>
      </c>
      <c r="M181" s="1">
        <v>0.3458</v>
      </c>
      <c r="N181">
        <v>8.3199999999999996E-2</v>
      </c>
      <c r="O181">
        <v>8.3900000000000002E-2</v>
      </c>
      <c r="P181">
        <v>9.8900000000000002E-2</v>
      </c>
      <c r="Q181">
        <v>5.4199999999999998E-2</v>
      </c>
      <c r="R181">
        <f t="shared" si="9"/>
        <v>-0.25000000000000022</v>
      </c>
      <c r="S181">
        <f t="shared" si="10"/>
        <v>-0.1799999999999996</v>
      </c>
      <c r="T181">
        <f t="shared" si="11"/>
        <v>1.3200000000000003</v>
      </c>
      <c r="U181">
        <f t="shared" si="12"/>
        <v>-3.15</v>
      </c>
    </row>
    <row r="182" spans="1:21" x14ac:dyDescent="0.2">
      <c r="A182" s="1" t="s">
        <v>149</v>
      </c>
      <c r="B182" s="1">
        <v>44</v>
      </c>
      <c r="C182" s="1" t="s">
        <v>112</v>
      </c>
      <c r="D182" s="1">
        <v>2</v>
      </c>
      <c r="E182" s="1">
        <v>41.0524208960123</v>
      </c>
      <c r="F182" s="1">
        <v>74.397865959443095</v>
      </c>
      <c r="G182" s="1">
        <v>6.8394354381039704E-2</v>
      </c>
      <c r="H182" s="1">
        <v>145.22503105029401</v>
      </c>
      <c r="I182" s="1">
        <v>17.9339553695172</v>
      </c>
      <c r="J182" s="1">
        <v>4.95979640008881E-3</v>
      </c>
      <c r="K182" s="2">
        <v>0.312</v>
      </c>
      <c r="L182" s="1">
        <v>0.14269999999999999</v>
      </c>
      <c r="M182" s="1">
        <v>1.403</v>
      </c>
      <c r="N182">
        <v>8.2299999999999998E-2</v>
      </c>
      <c r="O182">
        <v>8.1900000000000001E-2</v>
      </c>
      <c r="P182">
        <v>8.3500000000000005E-2</v>
      </c>
      <c r="Q182">
        <v>5.4600000000000003E-2</v>
      </c>
      <c r="R182">
        <f t="shared" si="9"/>
        <v>-0.34</v>
      </c>
      <c r="S182">
        <f t="shared" si="10"/>
        <v>-0.37999999999999978</v>
      </c>
      <c r="T182">
        <f t="shared" si="11"/>
        <v>-0.21999999999999936</v>
      </c>
      <c r="U182">
        <f t="shared" si="12"/>
        <v>-3.1099999999999994</v>
      </c>
    </row>
    <row r="183" spans="1:21" x14ac:dyDescent="0.2">
      <c r="A183" s="1" t="s">
        <v>149</v>
      </c>
      <c r="B183" s="1">
        <v>44</v>
      </c>
      <c r="C183" s="1" t="s">
        <v>113</v>
      </c>
      <c r="D183" s="1">
        <v>2</v>
      </c>
      <c r="E183" s="1">
        <v>41.0524208960123</v>
      </c>
      <c r="F183" s="1">
        <v>74.397865959443095</v>
      </c>
      <c r="G183" s="1">
        <v>6.8394354381039704E-2</v>
      </c>
      <c r="H183" s="1">
        <v>145.22503105029401</v>
      </c>
      <c r="I183" s="1">
        <v>17.9339553695172</v>
      </c>
      <c r="J183" s="1">
        <v>4.95979640008881E-3</v>
      </c>
      <c r="K183" s="2">
        <v>0.1065</v>
      </c>
      <c r="L183" s="1">
        <v>0.14630000000000001</v>
      </c>
      <c r="M183" s="1">
        <v>0.46960000000000002</v>
      </c>
      <c r="N183">
        <v>8.1299999999999997E-2</v>
      </c>
      <c r="O183">
        <v>8.2100000000000006E-2</v>
      </c>
      <c r="P183">
        <v>8.5300000000000001E-2</v>
      </c>
      <c r="Q183">
        <v>5.4600000000000003E-2</v>
      </c>
      <c r="R183">
        <f t="shared" si="9"/>
        <v>-0.44000000000000011</v>
      </c>
      <c r="S183">
        <f t="shared" si="10"/>
        <v>-0.35999999999999921</v>
      </c>
      <c r="T183">
        <f t="shared" si="11"/>
        <v>-3.9999999999999758E-2</v>
      </c>
      <c r="U183">
        <f t="shared" si="12"/>
        <v>-3.1099999999999994</v>
      </c>
    </row>
    <row r="184" spans="1:21" x14ac:dyDescent="0.2">
      <c r="A184" s="1" t="s">
        <v>149</v>
      </c>
      <c r="B184" s="1">
        <v>44</v>
      </c>
      <c r="C184" s="1" t="s">
        <v>114</v>
      </c>
      <c r="D184" s="1">
        <v>2</v>
      </c>
      <c r="E184" s="1">
        <v>41.0524208960123</v>
      </c>
      <c r="F184" s="1">
        <v>74.397865959443095</v>
      </c>
      <c r="G184" s="1">
        <v>6.8394354381039704E-2</v>
      </c>
      <c r="H184" s="1">
        <v>145.22503105029401</v>
      </c>
      <c r="I184" s="1">
        <v>17.9339553695172</v>
      </c>
      <c r="J184" s="1">
        <v>4.95979640008881E-3</v>
      </c>
      <c r="K184" s="2">
        <v>0.1138</v>
      </c>
      <c r="L184" s="1">
        <v>0.1353</v>
      </c>
      <c r="M184" s="1">
        <v>0.25509999999999999</v>
      </c>
      <c r="N184">
        <v>9.3700000000000006E-2</v>
      </c>
      <c r="O184">
        <v>9.2700000000000005E-2</v>
      </c>
      <c r="P184">
        <v>9.2600000000000002E-2</v>
      </c>
      <c r="Q184">
        <v>6.1499999999999999E-2</v>
      </c>
      <c r="R184">
        <f t="shared" si="9"/>
        <v>0.80000000000000071</v>
      </c>
      <c r="S184">
        <f t="shared" si="10"/>
        <v>0.70000000000000062</v>
      </c>
      <c r="T184">
        <f t="shared" si="11"/>
        <v>0.69000000000000028</v>
      </c>
      <c r="U184">
        <f t="shared" si="12"/>
        <v>-2.42</v>
      </c>
    </row>
    <row r="185" spans="1:21" x14ac:dyDescent="0.2">
      <c r="A185" s="1" t="s">
        <v>149</v>
      </c>
      <c r="B185" s="1">
        <v>44</v>
      </c>
      <c r="C185" s="1" t="s">
        <v>115</v>
      </c>
      <c r="D185" s="1">
        <v>2</v>
      </c>
      <c r="E185" s="1">
        <v>41.0524208960123</v>
      </c>
      <c r="F185" s="1">
        <v>74.397865959443095</v>
      </c>
      <c r="G185" s="1">
        <v>6.8394354381039704E-2</v>
      </c>
      <c r="H185" s="1">
        <v>145.22503105029401</v>
      </c>
      <c r="I185" s="1">
        <v>17.9339553695172</v>
      </c>
      <c r="J185" s="1">
        <v>4.95979640008881E-3</v>
      </c>
      <c r="K185" s="2">
        <v>0.1061</v>
      </c>
      <c r="L185" s="1">
        <v>0.1399</v>
      </c>
      <c r="M185" s="1">
        <v>0.20349999999999999</v>
      </c>
      <c r="N185">
        <v>7.9799999999999996E-2</v>
      </c>
      <c r="O185">
        <v>8.1500000000000003E-2</v>
      </c>
      <c r="P185">
        <v>8.77E-2</v>
      </c>
      <c r="Q185">
        <v>5.4300000000000001E-2</v>
      </c>
      <c r="R185">
        <f t="shared" si="9"/>
        <v>-0.59000000000000019</v>
      </c>
      <c r="S185">
        <f t="shared" si="10"/>
        <v>-0.41999999999999954</v>
      </c>
      <c r="T185">
        <f t="shared" si="11"/>
        <v>0.20000000000000018</v>
      </c>
      <c r="U185">
        <f t="shared" si="12"/>
        <v>-3.1399999999999997</v>
      </c>
    </row>
    <row r="186" spans="1:21" x14ac:dyDescent="0.2">
      <c r="A186" s="1" t="s">
        <v>150</v>
      </c>
      <c r="B186" s="1">
        <v>45</v>
      </c>
      <c r="C186" s="1" t="s">
        <v>117</v>
      </c>
      <c r="D186" s="1">
        <v>2</v>
      </c>
      <c r="E186" s="1">
        <v>8.8780504255555499</v>
      </c>
      <c r="F186" s="1">
        <v>24.545445496216399</v>
      </c>
      <c r="G186" s="1">
        <v>9.2294273603335003E-2</v>
      </c>
      <c r="H186" s="1">
        <v>9.7242871344089501</v>
      </c>
      <c r="I186" s="1">
        <v>126.22437483631001</v>
      </c>
      <c r="J186" s="1">
        <v>2.3786963909398699E-3</v>
      </c>
      <c r="K186" s="2">
        <v>0.22059999999999999</v>
      </c>
      <c r="L186" s="1">
        <v>0.39789999999999998</v>
      </c>
      <c r="M186" s="1">
        <v>0.1827</v>
      </c>
      <c r="N186">
        <v>5.6899999999999999E-2</v>
      </c>
      <c r="O186">
        <v>5.3800000000000001E-2</v>
      </c>
      <c r="P186">
        <v>6.5600000000000006E-2</v>
      </c>
      <c r="Q186">
        <v>8.9899999999999994E-2</v>
      </c>
      <c r="R186">
        <f t="shared" si="9"/>
        <v>-2.88</v>
      </c>
      <c r="S186">
        <f t="shared" si="10"/>
        <v>-3.1899999999999995</v>
      </c>
      <c r="T186">
        <f t="shared" si="11"/>
        <v>-2.0099999999999993</v>
      </c>
      <c r="U186">
        <f t="shared" si="12"/>
        <v>0.41999999999999954</v>
      </c>
    </row>
    <row r="187" spans="1:21" x14ac:dyDescent="0.2">
      <c r="A187" s="1" t="s">
        <v>150</v>
      </c>
      <c r="B187" s="1">
        <v>45</v>
      </c>
      <c r="C187" s="1" t="s">
        <v>118</v>
      </c>
      <c r="D187" s="1">
        <v>2</v>
      </c>
      <c r="E187" s="1">
        <v>8.8780504255555499</v>
      </c>
      <c r="F187" s="1">
        <v>24.545445496216399</v>
      </c>
      <c r="G187" s="1">
        <v>9.2294273603335003E-2</v>
      </c>
      <c r="H187" s="1">
        <v>9.7242871344089501</v>
      </c>
      <c r="I187" s="1">
        <v>126.22437483631001</v>
      </c>
      <c r="J187" s="1">
        <v>2.3786963909398699E-3</v>
      </c>
      <c r="K187" s="2">
        <v>0.20169999999999999</v>
      </c>
      <c r="L187" s="1">
        <v>0.30470000000000003</v>
      </c>
      <c r="M187" s="1">
        <v>0.183</v>
      </c>
      <c r="N187">
        <v>6.1699999999999998E-2</v>
      </c>
      <c r="O187">
        <v>6.1199999999999997E-2</v>
      </c>
      <c r="P187">
        <v>6.3600000000000004E-2</v>
      </c>
      <c r="Q187">
        <v>8.7900000000000006E-2</v>
      </c>
      <c r="R187">
        <f t="shared" si="9"/>
        <v>-2.4</v>
      </c>
      <c r="S187">
        <f t="shared" si="10"/>
        <v>-2.4500000000000002</v>
      </c>
      <c r="T187">
        <f t="shared" si="11"/>
        <v>-2.2099999999999995</v>
      </c>
      <c r="U187">
        <f t="shared" si="12"/>
        <v>0.22000000000000075</v>
      </c>
    </row>
    <row r="188" spans="1:21" x14ac:dyDescent="0.2">
      <c r="A188" s="1" t="s">
        <v>150</v>
      </c>
      <c r="B188" s="1">
        <v>45</v>
      </c>
      <c r="C188" s="1" t="s">
        <v>119</v>
      </c>
      <c r="D188" s="1">
        <v>2</v>
      </c>
      <c r="E188" s="1">
        <v>8.8780504255555499</v>
      </c>
      <c r="F188" s="1">
        <v>24.545445496216399</v>
      </c>
      <c r="G188" s="1">
        <v>9.2294273603335003E-2</v>
      </c>
      <c r="H188" s="1">
        <v>9.7242871344089501</v>
      </c>
      <c r="I188" s="1">
        <v>126.22437483631001</v>
      </c>
      <c r="J188" s="1">
        <v>2.3786963909398699E-3</v>
      </c>
      <c r="K188" s="2">
        <v>0.27450000000000002</v>
      </c>
      <c r="L188" s="1">
        <v>0.36649999999999999</v>
      </c>
      <c r="M188" s="1">
        <v>0.21940000000000001</v>
      </c>
      <c r="N188">
        <v>6.25E-2</v>
      </c>
      <c r="O188">
        <v>6.0999999999999999E-2</v>
      </c>
      <c r="P188">
        <v>7.0000000000000007E-2</v>
      </c>
      <c r="Q188">
        <v>8.8800000000000004E-2</v>
      </c>
      <c r="R188">
        <f t="shared" si="9"/>
        <v>-2.3199999999999998</v>
      </c>
      <c r="S188">
        <f t="shared" si="10"/>
        <v>-2.4699999999999998</v>
      </c>
      <c r="T188">
        <f t="shared" si="11"/>
        <v>-1.5699999999999992</v>
      </c>
      <c r="U188">
        <f t="shared" si="12"/>
        <v>0.31000000000000055</v>
      </c>
    </row>
    <row r="189" spans="1:21" x14ac:dyDescent="0.2">
      <c r="A189" s="1" t="s">
        <v>150</v>
      </c>
      <c r="B189" s="1">
        <v>45</v>
      </c>
      <c r="C189" s="1" t="s">
        <v>120</v>
      </c>
      <c r="D189" s="1">
        <v>2</v>
      </c>
      <c r="E189" s="1">
        <v>8.8780504255555499</v>
      </c>
      <c r="F189" s="1">
        <v>24.545445496216399</v>
      </c>
      <c r="G189" s="1">
        <v>9.2294273603335003E-2</v>
      </c>
      <c r="H189" s="1">
        <v>9.7242871344089501</v>
      </c>
      <c r="I189" s="1">
        <v>126.22437483631001</v>
      </c>
      <c r="J189" s="1">
        <v>2.3786963909398699E-3</v>
      </c>
      <c r="K189" s="2">
        <v>0.2681</v>
      </c>
      <c r="L189" s="1">
        <v>0.4728</v>
      </c>
      <c r="M189" s="1">
        <v>0.19040000000000001</v>
      </c>
      <c r="N189">
        <v>6.6000000000000003E-2</v>
      </c>
      <c r="O189">
        <v>6.3E-2</v>
      </c>
      <c r="P189">
        <v>7.7700000000000005E-2</v>
      </c>
      <c r="Q189">
        <v>5.67E-2</v>
      </c>
      <c r="R189">
        <f t="shared" si="9"/>
        <v>-1.9699999999999995</v>
      </c>
      <c r="S189">
        <f t="shared" si="10"/>
        <v>-2.2699999999999996</v>
      </c>
      <c r="T189">
        <f t="shared" si="11"/>
        <v>-0.79999999999999927</v>
      </c>
      <c r="U189">
        <f t="shared" si="12"/>
        <v>-2.9</v>
      </c>
    </row>
    <row r="190" spans="1:21" x14ac:dyDescent="0.2">
      <c r="A190" s="1" t="s">
        <v>151</v>
      </c>
      <c r="B190" s="1">
        <v>46</v>
      </c>
      <c r="C190" s="1" t="s">
        <v>122</v>
      </c>
      <c r="D190" s="1">
        <v>2</v>
      </c>
      <c r="E190" s="1">
        <v>31.139175069983999</v>
      </c>
      <c r="F190" s="1">
        <v>7.7848107563331697</v>
      </c>
      <c r="G190" s="1">
        <v>4.6431578644178802E-2</v>
      </c>
      <c r="H190" s="1">
        <v>138.46549623161499</v>
      </c>
      <c r="I190" s="1">
        <v>128.810943989083</v>
      </c>
      <c r="J190" s="1">
        <v>4.3120652351994002E-3</v>
      </c>
      <c r="K190" s="2">
        <v>0.123</v>
      </c>
      <c r="L190" s="1">
        <v>0.23449999999999999</v>
      </c>
      <c r="M190" s="1">
        <v>0.1275</v>
      </c>
      <c r="N190">
        <v>7.9299999999999995E-2</v>
      </c>
      <c r="O190">
        <v>7.9600000000000004E-2</v>
      </c>
      <c r="P190">
        <v>0.1</v>
      </c>
      <c r="Q190">
        <v>5.9299999999999999E-2</v>
      </c>
      <c r="R190">
        <f t="shared" si="9"/>
        <v>-0.64000000000000024</v>
      </c>
      <c r="S190">
        <f t="shared" si="10"/>
        <v>-0.60999999999999943</v>
      </c>
      <c r="T190">
        <f t="shared" si="11"/>
        <v>1.4300000000000006</v>
      </c>
      <c r="U190">
        <f t="shared" si="12"/>
        <v>-2.64</v>
      </c>
    </row>
    <row r="191" spans="1:21" x14ac:dyDescent="0.2">
      <c r="A191" s="1" t="s">
        <v>151</v>
      </c>
      <c r="B191" s="1">
        <v>46</v>
      </c>
      <c r="C191" s="1" t="s">
        <v>123</v>
      </c>
      <c r="D191" s="1">
        <v>2</v>
      </c>
      <c r="E191" s="1">
        <v>31.139175069983999</v>
      </c>
      <c r="F191" s="1">
        <v>7.7848107563331697</v>
      </c>
      <c r="G191" s="1">
        <v>4.6431578644178802E-2</v>
      </c>
      <c r="H191" s="1">
        <v>138.46549623161499</v>
      </c>
      <c r="I191" s="1">
        <v>128.810943989083</v>
      </c>
      <c r="J191" s="1">
        <v>4.3120652351994002E-3</v>
      </c>
      <c r="K191" s="2">
        <v>0.1275</v>
      </c>
      <c r="L191" s="1">
        <v>0.27779999999999999</v>
      </c>
      <c r="M191" s="1">
        <v>0.217</v>
      </c>
      <c r="N191">
        <v>8.0699999999999994E-2</v>
      </c>
      <c r="O191">
        <v>7.9100000000000004E-2</v>
      </c>
      <c r="P191">
        <v>0.10100000000000001</v>
      </c>
      <c r="Q191">
        <v>5.57E-2</v>
      </c>
      <c r="R191">
        <f t="shared" si="9"/>
        <v>-0.50000000000000044</v>
      </c>
      <c r="S191">
        <f t="shared" si="10"/>
        <v>-0.65999999999999948</v>
      </c>
      <c r="T191">
        <f t="shared" si="11"/>
        <v>1.5300000000000007</v>
      </c>
      <c r="U191">
        <f t="shared" si="12"/>
        <v>-3</v>
      </c>
    </row>
    <row r="192" spans="1:21" x14ac:dyDescent="0.2">
      <c r="A192" s="1" t="s">
        <v>151</v>
      </c>
      <c r="B192" s="1">
        <v>46</v>
      </c>
      <c r="C192" s="1" t="s">
        <v>124</v>
      </c>
      <c r="D192" s="1">
        <v>2</v>
      </c>
      <c r="E192" s="1">
        <v>31.139175069983999</v>
      </c>
      <c r="F192" s="1">
        <v>7.7848107563331697</v>
      </c>
      <c r="G192" s="1">
        <v>4.6431578644178802E-2</v>
      </c>
      <c r="H192" s="1">
        <v>138.46549623161499</v>
      </c>
      <c r="I192" s="1">
        <v>128.810943989083</v>
      </c>
      <c r="J192" s="1">
        <v>4.3120652351994002E-3</v>
      </c>
      <c r="K192" s="2">
        <v>0.24840000000000001</v>
      </c>
      <c r="L192" s="1">
        <v>0.26429999999999998</v>
      </c>
      <c r="M192" s="1">
        <v>0.1361</v>
      </c>
      <c r="N192">
        <v>9.1700000000000004E-2</v>
      </c>
      <c r="O192">
        <v>9.06E-2</v>
      </c>
      <c r="P192">
        <v>0.1037</v>
      </c>
      <c r="Q192">
        <v>6.4799999999999996E-2</v>
      </c>
      <c r="R192">
        <f t="shared" si="9"/>
        <v>0.60000000000000053</v>
      </c>
      <c r="S192">
        <f t="shared" si="10"/>
        <v>0.49000000000000016</v>
      </c>
      <c r="T192">
        <f t="shared" si="11"/>
        <v>1.8000000000000003</v>
      </c>
      <c r="U192">
        <f t="shared" si="12"/>
        <v>-2.0900000000000003</v>
      </c>
    </row>
    <row r="193" spans="1:21" x14ac:dyDescent="0.2">
      <c r="A193" s="1" t="s">
        <v>151</v>
      </c>
      <c r="B193" s="1">
        <v>46</v>
      </c>
      <c r="C193" s="3" t="s">
        <v>125</v>
      </c>
      <c r="D193" s="1">
        <v>2</v>
      </c>
      <c r="E193" s="1">
        <v>31.139175069983999</v>
      </c>
      <c r="F193" s="1">
        <v>7.7848107563331697</v>
      </c>
      <c r="G193" s="1">
        <v>4.6431578644178802E-2</v>
      </c>
      <c r="H193" s="1">
        <v>138.46549623161499</v>
      </c>
      <c r="I193" s="1">
        <v>128.810943989083</v>
      </c>
      <c r="J193" s="1">
        <v>4.3120652351994002E-3</v>
      </c>
      <c r="K193" s="2">
        <v>0.12740000000000001</v>
      </c>
      <c r="L193" s="1">
        <v>0.31380000000000002</v>
      </c>
      <c r="M193" s="1">
        <v>0.44069999999999998</v>
      </c>
      <c r="N193">
        <v>8.1799999999999998E-2</v>
      </c>
      <c r="O193">
        <v>7.8600000000000003E-2</v>
      </c>
      <c r="P193">
        <v>9.7199999999999995E-2</v>
      </c>
      <c r="Q193">
        <v>6.1199999999999997E-2</v>
      </c>
      <c r="R193">
        <f t="shared" si="9"/>
        <v>-0.39000000000000007</v>
      </c>
      <c r="S193">
        <f t="shared" si="10"/>
        <v>-0.70999999999999952</v>
      </c>
      <c r="T193">
        <f t="shared" si="11"/>
        <v>1.1499999999999997</v>
      </c>
      <c r="U193">
        <f t="shared" si="12"/>
        <v>-2.4500000000000002</v>
      </c>
    </row>
    <row r="194" spans="1:21" x14ac:dyDescent="0.2">
      <c r="A194" s="1" t="s">
        <v>180</v>
      </c>
      <c r="B194" s="1">
        <v>0</v>
      </c>
      <c r="C194" s="1" t="s">
        <v>7</v>
      </c>
      <c r="D194" s="1">
        <v>3</v>
      </c>
      <c r="E194" s="1">
        <v>25</v>
      </c>
      <c r="F194" s="1">
        <v>50</v>
      </c>
      <c r="G194" s="1">
        <v>1E-3</v>
      </c>
      <c r="H194" s="1">
        <v>15</v>
      </c>
      <c r="I194" s="1">
        <v>125</v>
      </c>
      <c r="J194" s="1">
        <v>1E-3</v>
      </c>
      <c r="K194" s="2">
        <v>0.1154</v>
      </c>
      <c r="L194" s="1">
        <v>0.1305</v>
      </c>
      <c r="M194" s="1">
        <v>0.1666</v>
      </c>
      <c r="N194">
        <v>5.7599999999999998E-2</v>
      </c>
      <c r="O194">
        <v>6.1499999999999999E-2</v>
      </c>
      <c r="P194">
        <v>6.8500000000000005E-2</v>
      </c>
      <c r="Q194">
        <v>8.4900000000000003E-2</v>
      </c>
      <c r="R194">
        <f t="shared" si="9"/>
        <v>-2.81</v>
      </c>
      <c r="S194">
        <f t="shared" si="10"/>
        <v>-2.42</v>
      </c>
      <c r="T194">
        <f t="shared" si="11"/>
        <v>-1.7199999999999993</v>
      </c>
      <c r="U194">
        <f t="shared" si="12"/>
        <v>-7.9999999999999516E-2</v>
      </c>
    </row>
    <row r="195" spans="1:21" x14ac:dyDescent="0.2">
      <c r="A195" s="1" t="s">
        <v>180</v>
      </c>
      <c r="B195" s="1">
        <v>0</v>
      </c>
      <c r="C195" s="1" t="s">
        <v>8</v>
      </c>
      <c r="D195" s="1">
        <v>3</v>
      </c>
      <c r="E195" s="1">
        <v>25</v>
      </c>
      <c r="F195" s="1">
        <v>50</v>
      </c>
      <c r="G195" s="1">
        <v>1E-3</v>
      </c>
      <c r="H195" s="1">
        <v>15</v>
      </c>
      <c r="I195" s="1">
        <v>125</v>
      </c>
      <c r="J195" s="1">
        <v>1E-3</v>
      </c>
      <c r="K195" s="2">
        <v>0.40450000000000003</v>
      </c>
      <c r="L195" s="1">
        <v>0.12959999999999999</v>
      </c>
      <c r="M195" s="1">
        <v>0.28289999999999998</v>
      </c>
      <c r="N195">
        <v>5.8400000000000001E-2</v>
      </c>
      <c r="O195">
        <v>5.8000000000000003E-2</v>
      </c>
      <c r="P195">
        <v>6.9199999999999998E-2</v>
      </c>
      <c r="Q195">
        <v>8.43E-2</v>
      </c>
      <c r="R195">
        <f t="shared" ref="R195:R258" si="13">(N195-0.0857)/0.01</f>
        <v>-2.7299999999999995</v>
      </c>
      <c r="S195">
        <f t="shared" ref="S195:S258" si="14">(O195-0.0857)/0.01</f>
        <v>-2.7699999999999996</v>
      </c>
      <c r="T195">
        <f t="shared" ref="T195:T258" si="15">(P195-0.0857)/0.01</f>
        <v>-1.6500000000000001</v>
      </c>
      <c r="U195">
        <f t="shared" ref="U195:U258" si="16">(Q195-0.0857)/0.01</f>
        <v>-0.13999999999999985</v>
      </c>
    </row>
    <row r="196" spans="1:21" x14ac:dyDescent="0.2">
      <c r="A196" s="1" t="s">
        <v>180</v>
      </c>
      <c r="B196" s="1">
        <v>0</v>
      </c>
      <c r="C196" s="1" t="s">
        <v>9</v>
      </c>
      <c r="D196" s="1">
        <v>3</v>
      </c>
      <c r="E196" s="1">
        <v>25</v>
      </c>
      <c r="F196" s="1">
        <v>50</v>
      </c>
      <c r="G196" s="1">
        <v>1E-3</v>
      </c>
      <c r="H196" s="1">
        <v>15</v>
      </c>
      <c r="I196" s="1">
        <v>125</v>
      </c>
      <c r="J196" s="1">
        <v>1E-3</v>
      </c>
      <c r="K196" s="2">
        <v>0.3916</v>
      </c>
      <c r="L196" s="1">
        <v>0.14419999999999999</v>
      </c>
      <c r="M196" s="1">
        <v>0.31830000000000003</v>
      </c>
      <c r="N196">
        <v>6.4299999999999996E-2</v>
      </c>
      <c r="O196">
        <v>6.2399999999999997E-2</v>
      </c>
      <c r="P196">
        <v>7.2900000000000006E-2</v>
      </c>
      <c r="Q196">
        <v>8.1299999999999997E-2</v>
      </c>
      <c r="R196">
        <f t="shared" si="13"/>
        <v>-2.14</v>
      </c>
      <c r="S196">
        <f t="shared" si="14"/>
        <v>-2.33</v>
      </c>
      <c r="T196">
        <f t="shared" si="15"/>
        <v>-1.2799999999999991</v>
      </c>
      <c r="U196">
        <f t="shared" si="16"/>
        <v>-0.44000000000000011</v>
      </c>
    </row>
    <row r="197" spans="1:21" x14ac:dyDescent="0.2">
      <c r="A197" s="1" t="s">
        <v>180</v>
      </c>
      <c r="B197" s="1">
        <v>0</v>
      </c>
      <c r="C197" s="1" t="s">
        <v>10</v>
      </c>
      <c r="D197" s="1">
        <v>3</v>
      </c>
      <c r="E197" s="1">
        <v>25</v>
      </c>
      <c r="F197" s="1">
        <v>50</v>
      </c>
      <c r="G197" s="1">
        <v>1E-3</v>
      </c>
      <c r="H197" s="1">
        <v>15</v>
      </c>
      <c r="I197" s="1">
        <v>125</v>
      </c>
      <c r="J197" s="1">
        <v>1E-3</v>
      </c>
      <c r="K197" s="2">
        <v>0.23319999999999999</v>
      </c>
      <c r="L197" s="1">
        <v>0.1399</v>
      </c>
      <c r="M197" s="1">
        <v>0.34839999999999999</v>
      </c>
      <c r="N197">
        <v>7.0300000000000001E-2</v>
      </c>
      <c r="O197">
        <v>7.1800000000000003E-2</v>
      </c>
      <c r="P197">
        <v>9.3700000000000006E-2</v>
      </c>
      <c r="Q197">
        <v>9.7500000000000003E-2</v>
      </c>
      <c r="R197">
        <f t="shared" si="13"/>
        <v>-1.5399999999999996</v>
      </c>
      <c r="S197">
        <f t="shared" si="14"/>
        <v>-1.3899999999999995</v>
      </c>
      <c r="T197">
        <f t="shared" si="15"/>
        <v>0.80000000000000071</v>
      </c>
      <c r="U197">
        <f t="shared" si="16"/>
        <v>1.1800000000000004</v>
      </c>
    </row>
    <row r="198" spans="1:21" x14ac:dyDescent="0.2">
      <c r="A198" s="1" t="s">
        <v>152</v>
      </c>
      <c r="B198" s="1">
        <v>47</v>
      </c>
      <c r="C198" s="1" t="s">
        <v>12</v>
      </c>
      <c r="D198" s="1">
        <v>3</v>
      </c>
      <c r="E198" s="1">
        <v>26.319395032711299</v>
      </c>
      <c r="F198" s="1">
        <v>80.4390563527122</v>
      </c>
      <c r="G198" s="1">
        <v>4.2385416500829103E-2</v>
      </c>
      <c r="H198" s="1">
        <v>118.342481279373</v>
      </c>
      <c r="I198" s="1">
        <v>49.260649513453203</v>
      </c>
      <c r="J198" s="1">
        <v>8.1658680038526599E-5</v>
      </c>
      <c r="K198" s="2">
        <v>0.10440000000000001</v>
      </c>
      <c r="L198" s="1">
        <v>0.1867</v>
      </c>
      <c r="M198" s="1">
        <v>0.19420000000000001</v>
      </c>
      <c r="N198">
        <v>7.7600000000000002E-2</v>
      </c>
      <c r="O198">
        <v>0.1056</v>
      </c>
      <c r="P198">
        <v>7.9200000000000007E-2</v>
      </c>
      <c r="Q198">
        <v>8.4099999999999994E-2</v>
      </c>
      <c r="R198">
        <f t="shared" si="13"/>
        <v>-0.80999999999999961</v>
      </c>
      <c r="S198">
        <f t="shared" si="14"/>
        <v>1.99</v>
      </c>
      <c r="T198">
        <f t="shared" si="15"/>
        <v>-0.64999999999999913</v>
      </c>
      <c r="U198">
        <f t="shared" si="16"/>
        <v>-0.16000000000000042</v>
      </c>
    </row>
    <row r="199" spans="1:21" x14ac:dyDescent="0.2">
      <c r="A199" s="1" t="s">
        <v>152</v>
      </c>
      <c r="B199" s="1">
        <v>47</v>
      </c>
      <c r="C199" s="1" t="s">
        <v>13</v>
      </c>
      <c r="D199" s="1">
        <v>3</v>
      </c>
      <c r="E199" s="1">
        <v>26.319395032711299</v>
      </c>
      <c r="F199" s="1">
        <v>80.4390563527122</v>
      </c>
      <c r="G199" s="1">
        <v>4.2385416500829103E-2</v>
      </c>
      <c r="H199" s="1">
        <v>118.342481279373</v>
      </c>
      <c r="I199" s="1">
        <v>49.260649513453203</v>
      </c>
      <c r="J199" s="1">
        <v>8.1658680038526599E-5</v>
      </c>
      <c r="K199" s="2">
        <v>0.1028</v>
      </c>
      <c r="L199" s="1">
        <v>0.19800000000000001</v>
      </c>
      <c r="M199" s="1">
        <v>0.19289999999999999</v>
      </c>
      <c r="N199">
        <v>7.8299999999999995E-2</v>
      </c>
      <c r="O199">
        <v>9.1999999999999998E-2</v>
      </c>
      <c r="P199">
        <v>7.9500000000000001E-2</v>
      </c>
      <c r="Q199">
        <v>8.2900000000000001E-2</v>
      </c>
      <c r="R199">
        <f t="shared" si="13"/>
        <v>-0.74000000000000032</v>
      </c>
      <c r="S199">
        <f t="shared" si="14"/>
        <v>0.63</v>
      </c>
      <c r="T199">
        <f t="shared" si="15"/>
        <v>-0.61999999999999966</v>
      </c>
      <c r="U199">
        <f t="shared" si="16"/>
        <v>-0.27999999999999969</v>
      </c>
    </row>
    <row r="200" spans="1:21" x14ac:dyDescent="0.2">
      <c r="A200" s="1" t="s">
        <v>152</v>
      </c>
      <c r="B200" s="1">
        <v>47</v>
      </c>
      <c r="C200" s="1" t="s">
        <v>14</v>
      </c>
      <c r="D200" s="1">
        <v>3</v>
      </c>
      <c r="E200" s="1">
        <v>26.319395032711299</v>
      </c>
      <c r="F200" s="1">
        <v>80.4390563527122</v>
      </c>
      <c r="G200" s="1">
        <v>4.2385416500829103E-2</v>
      </c>
      <c r="H200" s="1">
        <v>118.342481279373</v>
      </c>
      <c r="I200" s="1">
        <v>49.260649513453203</v>
      </c>
      <c r="J200" s="1">
        <v>8.1658680038526599E-5</v>
      </c>
      <c r="K200" s="2">
        <v>0.1174</v>
      </c>
      <c r="L200" s="1">
        <v>0.17199999999999999</v>
      </c>
      <c r="M200" s="1">
        <v>0.1951</v>
      </c>
      <c r="N200">
        <v>8.7300000000000003E-2</v>
      </c>
      <c r="O200">
        <v>9.5500000000000002E-2</v>
      </c>
      <c r="P200">
        <v>8.9399999999999993E-2</v>
      </c>
      <c r="Q200">
        <v>9.2799999999999994E-2</v>
      </c>
      <c r="R200">
        <f t="shared" si="13"/>
        <v>0.16000000000000042</v>
      </c>
      <c r="S200">
        <f t="shared" si="14"/>
        <v>0.98000000000000032</v>
      </c>
      <c r="T200">
        <f t="shared" si="15"/>
        <v>0.3699999999999995</v>
      </c>
      <c r="U200">
        <f t="shared" si="16"/>
        <v>0.70999999999999952</v>
      </c>
    </row>
    <row r="201" spans="1:21" x14ac:dyDescent="0.2">
      <c r="A201" s="1" t="s">
        <v>152</v>
      </c>
      <c r="B201" s="1">
        <v>47</v>
      </c>
      <c r="C201" s="1" t="s">
        <v>15</v>
      </c>
      <c r="D201" s="1">
        <v>3</v>
      </c>
      <c r="E201" s="1">
        <v>26.319395032711299</v>
      </c>
      <c r="F201" s="1">
        <v>80.4390563527122</v>
      </c>
      <c r="G201" s="1">
        <v>4.2385416500829103E-2</v>
      </c>
      <c r="H201" s="1">
        <v>118.342481279373</v>
      </c>
      <c r="I201" s="1">
        <v>49.260649513453203</v>
      </c>
      <c r="J201" s="1">
        <v>8.1658680038526599E-5</v>
      </c>
      <c r="K201" s="2">
        <v>0.1164</v>
      </c>
      <c r="L201" s="1">
        <v>0.23119999999999999</v>
      </c>
      <c r="M201" s="1">
        <v>0.1736</v>
      </c>
      <c r="N201">
        <v>7.4899999999999994E-2</v>
      </c>
      <c r="O201">
        <v>8.9800000000000005E-2</v>
      </c>
      <c r="P201">
        <v>9.8199999999999996E-2</v>
      </c>
      <c r="Q201">
        <v>9.3600000000000003E-2</v>
      </c>
      <c r="R201">
        <f t="shared" si="13"/>
        <v>-1.0800000000000003</v>
      </c>
      <c r="S201">
        <f t="shared" si="14"/>
        <v>0.41000000000000064</v>
      </c>
      <c r="T201">
        <f t="shared" si="15"/>
        <v>1.2499999999999998</v>
      </c>
      <c r="U201">
        <f t="shared" si="16"/>
        <v>0.79000000000000037</v>
      </c>
    </row>
    <row r="202" spans="1:21" x14ac:dyDescent="0.2">
      <c r="A202" s="1" t="s">
        <v>153</v>
      </c>
      <c r="B202" s="1">
        <v>48</v>
      </c>
      <c r="C202" s="1" t="s">
        <v>17</v>
      </c>
      <c r="D202" s="1">
        <v>3</v>
      </c>
      <c r="E202" s="1">
        <v>32.6943502286449</v>
      </c>
      <c r="F202" s="1">
        <v>67.778018349781604</v>
      </c>
      <c r="G202" s="1">
        <v>7.9156377855688301E-3</v>
      </c>
      <c r="H202" s="1">
        <v>14.234394285827801</v>
      </c>
      <c r="I202" s="1">
        <v>144.414979624561</v>
      </c>
      <c r="J202" s="1">
        <v>8.6626573321409498E-4</v>
      </c>
      <c r="K202" s="2">
        <v>0.11219999999999999</v>
      </c>
      <c r="L202" s="1">
        <v>0.24210000000000001</v>
      </c>
      <c r="M202" s="1">
        <v>0.16139999999999999</v>
      </c>
      <c r="N202">
        <v>5.6399999999999999E-2</v>
      </c>
      <c r="O202">
        <v>6.1600000000000002E-2</v>
      </c>
      <c r="P202">
        <v>7.3099999999999998E-2</v>
      </c>
      <c r="Q202">
        <v>6.3200000000000006E-2</v>
      </c>
      <c r="R202">
        <f t="shared" si="13"/>
        <v>-2.9299999999999997</v>
      </c>
      <c r="S202">
        <f t="shared" si="14"/>
        <v>-2.4099999999999997</v>
      </c>
      <c r="T202">
        <f t="shared" si="15"/>
        <v>-1.26</v>
      </c>
      <c r="U202">
        <f t="shared" si="16"/>
        <v>-2.2499999999999991</v>
      </c>
    </row>
    <row r="203" spans="1:21" x14ac:dyDescent="0.2">
      <c r="A203" s="1" t="s">
        <v>153</v>
      </c>
      <c r="B203" s="1">
        <v>48</v>
      </c>
      <c r="C203" s="1" t="s">
        <v>18</v>
      </c>
      <c r="D203" s="1">
        <v>3</v>
      </c>
      <c r="E203" s="1">
        <v>32.6943502286449</v>
      </c>
      <c r="F203" s="1">
        <v>67.778018349781604</v>
      </c>
      <c r="G203" s="1">
        <v>7.9156377855688301E-3</v>
      </c>
      <c r="H203" s="1">
        <v>14.234394285827801</v>
      </c>
      <c r="I203" s="1">
        <v>144.414979624561</v>
      </c>
      <c r="J203" s="1">
        <v>8.6626573321409498E-4</v>
      </c>
      <c r="K203" s="2">
        <v>0.2034</v>
      </c>
      <c r="L203" s="1">
        <v>0.2074</v>
      </c>
      <c r="M203" s="1">
        <v>0.13700000000000001</v>
      </c>
      <c r="N203">
        <v>5.6300000000000003E-2</v>
      </c>
      <c r="O203">
        <v>5.8700000000000002E-2</v>
      </c>
      <c r="P203">
        <v>6.3500000000000001E-2</v>
      </c>
      <c r="Q203">
        <v>7.8700000000000006E-2</v>
      </c>
      <c r="R203">
        <f t="shared" si="13"/>
        <v>-2.9399999999999995</v>
      </c>
      <c r="S203">
        <f t="shared" si="14"/>
        <v>-2.6999999999999997</v>
      </c>
      <c r="T203">
        <f t="shared" si="15"/>
        <v>-2.2199999999999998</v>
      </c>
      <c r="U203">
        <f t="shared" si="16"/>
        <v>-0.69999999999999918</v>
      </c>
    </row>
    <row r="204" spans="1:21" x14ac:dyDescent="0.2">
      <c r="A204" s="1" t="s">
        <v>153</v>
      </c>
      <c r="B204" s="1">
        <v>48</v>
      </c>
      <c r="C204" s="1" t="s">
        <v>19</v>
      </c>
      <c r="D204" s="1">
        <v>3</v>
      </c>
      <c r="E204" s="1">
        <v>32.6943502286449</v>
      </c>
      <c r="F204" s="1">
        <v>67.778018349781604</v>
      </c>
      <c r="G204" s="1">
        <v>7.9156377855688301E-3</v>
      </c>
      <c r="H204" s="1">
        <v>14.234394285827801</v>
      </c>
      <c r="I204" s="1">
        <v>144.414979624561</v>
      </c>
      <c r="J204" s="1">
        <v>8.6626573321409498E-4</v>
      </c>
      <c r="K204" s="2">
        <v>0.12520000000000001</v>
      </c>
      <c r="L204" s="1">
        <v>0.84079999999999999</v>
      </c>
      <c r="M204" s="1">
        <v>0.16</v>
      </c>
      <c r="N204">
        <v>6.3E-2</v>
      </c>
      <c r="O204">
        <v>6.4000000000000001E-2</v>
      </c>
      <c r="P204">
        <v>7.3700000000000002E-2</v>
      </c>
      <c r="Q204">
        <v>7.4899999999999994E-2</v>
      </c>
      <c r="R204">
        <f t="shared" si="13"/>
        <v>-2.2699999999999996</v>
      </c>
      <c r="S204">
        <f t="shared" si="14"/>
        <v>-2.1699999999999995</v>
      </c>
      <c r="T204">
        <f t="shared" si="15"/>
        <v>-1.1999999999999997</v>
      </c>
      <c r="U204">
        <f t="shared" si="16"/>
        <v>-1.0800000000000003</v>
      </c>
    </row>
    <row r="205" spans="1:21" x14ac:dyDescent="0.2">
      <c r="A205" s="1" t="s">
        <v>153</v>
      </c>
      <c r="B205" s="1">
        <v>48</v>
      </c>
      <c r="C205" s="1" t="s">
        <v>20</v>
      </c>
      <c r="D205" s="1">
        <v>3</v>
      </c>
      <c r="E205" s="1">
        <v>32.6943502286449</v>
      </c>
      <c r="F205" s="1">
        <v>67.778018349781604</v>
      </c>
      <c r="G205" s="1">
        <v>7.9156377855688301E-3</v>
      </c>
      <c r="H205" s="1">
        <v>14.234394285827801</v>
      </c>
      <c r="I205" s="1">
        <v>144.414979624561</v>
      </c>
      <c r="J205" s="1">
        <v>8.6626573321409498E-4</v>
      </c>
      <c r="K205" s="2">
        <v>0.14910000000000001</v>
      </c>
      <c r="L205" s="1">
        <v>0.20100000000000001</v>
      </c>
      <c r="M205" s="1">
        <v>0.187</v>
      </c>
      <c r="N205">
        <v>7.0900000000000005E-2</v>
      </c>
      <c r="O205">
        <v>7.2900000000000006E-2</v>
      </c>
      <c r="P205">
        <v>0.19570000000000001</v>
      </c>
      <c r="Q205">
        <v>7.6600000000000001E-2</v>
      </c>
      <c r="R205">
        <f t="shared" si="13"/>
        <v>-1.4799999999999993</v>
      </c>
      <c r="S205">
        <f t="shared" si="14"/>
        <v>-1.2799999999999991</v>
      </c>
      <c r="T205">
        <f t="shared" si="15"/>
        <v>11.000000000000002</v>
      </c>
      <c r="U205">
        <f t="shared" si="16"/>
        <v>-0.9099999999999997</v>
      </c>
    </row>
    <row r="206" spans="1:21" x14ac:dyDescent="0.2">
      <c r="A206" s="1" t="s">
        <v>154</v>
      </c>
      <c r="B206" s="1">
        <v>49</v>
      </c>
      <c r="C206" s="1" t="s">
        <v>22</v>
      </c>
      <c r="D206" s="1">
        <v>3</v>
      </c>
      <c r="E206" s="1">
        <v>12.4443843849003</v>
      </c>
      <c r="F206" s="1">
        <v>99.991806195117505</v>
      </c>
      <c r="G206" s="1">
        <v>2.4189081848598998E-2</v>
      </c>
      <c r="H206" s="1">
        <v>111.62518170103399</v>
      </c>
      <c r="I206" s="1">
        <v>100.826920811086</v>
      </c>
      <c r="J206" s="1">
        <v>4.9949278191197596E-3</v>
      </c>
      <c r="K206" s="2">
        <v>0.12740000000000001</v>
      </c>
      <c r="L206" s="1">
        <v>0.1734</v>
      </c>
      <c r="M206" s="1">
        <v>0.29759999999999998</v>
      </c>
      <c r="N206">
        <v>8.1100000000000005E-2</v>
      </c>
      <c r="O206">
        <v>8.5000000000000006E-2</v>
      </c>
      <c r="P206">
        <v>8.6999999999999994E-2</v>
      </c>
      <c r="Q206">
        <v>9.2399999999999996E-2</v>
      </c>
      <c r="R206">
        <f t="shared" si="13"/>
        <v>-0.4599999999999993</v>
      </c>
      <c r="S206">
        <f t="shared" si="14"/>
        <v>-6.999999999999923E-2</v>
      </c>
      <c r="T206">
        <f t="shared" si="15"/>
        <v>0.12999999999999956</v>
      </c>
      <c r="U206">
        <f t="shared" si="16"/>
        <v>0.66999999999999971</v>
      </c>
    </row>
    <row r="207" spans="1:21" x14ac:dyDescent="0.2">
      <c r="A207" s="1" t="s">
        <v>154</v>
      </c>
      <c r="B207" s="1">
        <v>49</v>
      </c>
      <c r="C207" s="1" t="s">
        <v>23</v>
      </c>
      <c r="D207" s="1">
        <v>3</v>
      </c>
      <c r="E207" s="1">
        <v>12.4443843849003</v>
      </c>
      <c r="F207" s="1">
        <v>99.991806195117505</v>
      </c>
      <c r="G207" s="1">
        <v>2.4189081848598998E-2</v>
      </c>
      <c r="H207" s="1">
        <v>111.62518170103399</v>
      </c>
      <c r="I207" s="1">
        <v>100.826920811086</v>
      </c>
      <c r="J207" s="1">
        <v>4.9949278191197596E-3</v>
      </c>
      <c r="K207" s="2">
        <v>0.1208</v>
      </c>
      <c r="L207" s="1">
        <v>0.19850000000000001</v>
      </c>
      <c r="M207" s="1">
        <v>0.3039</v>
      </c>
      <c r="N207">
        <v>8.1600000000000006E-2</v>
      </c>
      <c r="O207">
        <v>8.1100000000000005E-2</v>
      </c>
      <c r="P207">
        <v>0.1017</v>
      </c>
      <c r="Q207">
        <v>8.6599999999999996E-2</v>
      </c>
      <c r="R207">
        <f t="shared" si="13"/>
        <v>-0.40999999999999925</v>
      </c>
      <c r="S207">
        <f t="shared" si="14"/>
        <v>-0.4599999999999993</v>
      </c>
      <c r="T207">
        <f t="shared" si="15"/>
        <v>1.6</v>
      </c>
      <c r="U207">
        <f t="shared" si="16"/>
        <v>8.9999999999999802E-2</v>
      </c>
    </row>
    <row r="208" spans="1:21" x14ac:dyDescent="0.2">
      <c r="A208" s="1" t="s">
        <v>154</v>
      </c>
      <c r="B208" s="1">
        <v>49</v>
      </c>
      <c r="C208" s="1" t="s">
        <v>24</v>
      </c>
      <c r="D208" s="1">
        <v>3</v>
      </c>
      <c r="E208" s="1">
        <v>12.4443843849003</v>
      </c>
      <c r="F208" s="1">
        <v>99.991806195117505</v>
      </c>
      <c r="G208" s="1">
        <v>2.4189081848598998E-2</v>
      </c>
      <c r="H208" s="1">
        <v>111.62518170103399</v>
      </c>
      <c r="I208" s="1">
        <v>100.826920811086</v>
      </c>
      <c r="J208" s="1">
        <v>4.9949278191197596E-3</v>
      </c>
      <c r="K208" s="2">
        <v>0.45119999999999999</v>
      </c>
      <c r="L208" s="1">
        <v>0.2802</v>
      </c>
      <c r="M208" s="1">
        <v>0.28070000000000001</v>
      </c>
      <c r="N208">
        <v>8.9899999999999994E-2</v>
      </c>
      <c r="O208">
        <v>0.10879999999999999</v>
      </c>
      <c r="P208">
        <v>9.8400000000000001E-2</v>
      </c>
      <c r="Q208">
        <v>9.35E-2</v>
      </c>
      <c r="R208">
        <f t="shared" si="13"/>
        <v>0.41999999999999954</v>
      </c>
      <c r="S208">
        <f t="shared" si="14"/>
        <v>2.3099999999999996</v>
      </c>
      <c r="T208">
        <f t="shared" si="15"/>
        <v>1.2700000000000002</v>
      </c>
      <c r="U208">
        <f t="shared" si="16"/>
        <v>0.78000000000000014</v>
      </c>
    </row>
    <row r="209" spans="1:21" x14ac:dyDescent="0.2">
      <c r="A209" s="1" t="s">
        <v>154</v>
      </c>
      <c r="B209" s="1">
        <v>49</v>
      </c>
      <c r="C209" s="1" t="s">
        <v>25</v>
      </c>
      <c r="D209" s="1">
        <v>3</v>
      </c>
      <c r="E209" s="1">
        <v>12.4443843849003</v>
      </c>
      <c r="F209" s="1">
        <v>99.991806195117505</v>
      </c>
      <c r="G209" s="1">
        <v>2.4189081848598998E-2</v>
      </c>
      <c r="H209" s="1">
        <v>111.62518170103399</v>
      </c>
      <c r="I209" s="1">
        <v>100.826920811086</v>
      </c>
      <c r="J209" s="1">
        <v>4.9949278191197596E-3</v>
      </c>
      <c r="K209" s="2">
        <v>0.12659999999999999</v>
      </c>
      <c r="L209" s="1">
        <v>0.2276</v>
      </c>
      <c r="M209" s="1">
        <v>0.28749999999999998</v>
      </c>
      <c r="N209">
        <v>7.6799999999999993E-2</v>
      </c>
      <c r="O209">
        <v>8.9800000000000005E-2</v>
      </c>
      <c r="P209">
        <v>8.8400000000000006E-2</v>
      </c>
      <c r="Q209">
        <v>9.3100000000000002E-2</v>
      </c>
      <c r="R209">
        <f t="shared" si="13"/>
        <v>-0.89000000000000046</v>
      </c>
      <c r="S209">
        <f t="shared" si="14"/>
        <v>0.41000000000000064</v>
      </c>
      <c r="T209">
        <f t="shared" si="15"/>
        <v>0.27000000000000079</v>
      </c>
      <c r="U209">
        <f t="shared" si="16"/>
        <v>0.74000000000000032</v>
      </c>
    </row>
    <row r="210" spans="1:21" x14ac:dyDescent="0.2">
      <c r="A210" s="1" t="s">
        <v>155</v>
      </c>
      <c r="B210" s="1">
        <v>50</v>
      </c>
      <c r="C210" s="1" t="s">
        <v>27</v>
      </c>
      <c r="D210" s="1">
        <v>3</v>
      </c>
      <c r="E210" s="1">
        <v>3.5007287533953702</v>
      </c>
      <c r="F210" s="1">
        <v>66.715569182299006</v>
      </c>
      <c r="G210" s="1">
        <v>1.9809857127070403E-2</v>
      </c>
      <c r="H210" s="1">
        <v>60.631904464960002</v>
      </c>
      <c r="I210" s="1">
        <v>149.25635461695401</v>
      </c>
      <c r="J210" s="1">
        <v>4.4703036744147499E-3</v>
      </c>
      <c r="K210" s="2">
        <v>0.13270000000000001</v>
      </c>
      <c r="L210" s="1">
        <v>0.25190000000000001</v>
      </c>
      <c r="M210" s="1">
        <v>0.25679999999999997</v>
      </c>
      <c r="N210">
        <v>6.93E-2</v>
      </c>
      <c r="O210">
        <v>7.3400000000000007E-2</v>
      </c>
      <c r="P210">
        <v>7.6999999999999999E-2</v>
      </c>
      <c r="Q210">
        <v>8.5099999999999995E-2</v>
      </c>
      <c r="R210">
        <f t="shared" si="13"/>
        <v>-1.6399999999999997</v>
      </c>
      <c r="S210">
        <f t="shared" si="14"/>
        <v>-1.2299999999999991</v>
      </c>
      <c r="T210">
        <f t="shared" si="15"/>
        <v>-0.86999999999999988</v>
      </c>
      <c r="U210">
        <f t="shared" si="16"/>
        <v>-6.0000000000000331E-2</v>
      </c>
    </row>
    <row r="211" spans="1:21" x14ac:dyDescent="0.2">
      <c r="A211" s="1" t="s">
        <v>155</v>
      </c>
      <c r="B211" s="1">
        <v>50</v>
      </c>
      <c r="C211" s="1" t="s">
        <v>28</v>
      </c>
      <c r="D211" s="1">
        <v>3</v>
      </c>
      <c r="E211" s="1">
        <v>3.5007287533953702</v>
      </c>
      <c r="F211" s="1">
        <v>66.715569182299006</v>
      </c>
      <c r="G211" s="1">
        <v>1.9809857127070403E-2</v>
      </c>
      <c r="H211" s="1">
        <v>60.631904464960002</v>
      </c>
      <c r="I211" s="1">
        <v>149.25635461695401</v>
      </c>
      <c r="J211" s="1">
        <v>4.4703036744147499E-3</v>
      </c>
      <c r="K211" s="2">
        <v>0.13350000000000001</v>
      </c>
      <c r="L211" s="1">
        <v>0.27089999999999997</v>
      </c>
      <c r="M211" s="1">
        <v>0.21029999999999999</v>
      </c>
      <c r="N211">
        <v>6.93E-2</v>
      </c>
      <c r="O211">
        <v>6.7400000000000002E-2</v>
      </c>
      <c r="P211">
        <v>8.8099999999999998E-2</v>
      </c>
      <c r="Q211">
        <v>9.5399999999999999E-2</v>
      </c>
      <c r="R211">
        <f t="shared" si="13"/>
        <v>-1.6399999999999997</v>
      </c>
      <c r="S211">
        <f t="shared" si="14"/>
        <v>-1.8299999999999996</v>
      </c>
      <c r="T211">
        <f t="shared" si="15"/>
        <v>0.23999999999999994</v>
      </c>
      <c r="U211">
        <f t="shared" si="16"/>
        <v>0.97</v>
      </c>
    </row>
    <row r="212" spans="1:21" x14ac:dyDescent="0.2">
      <c r="A212" s="1" t="s">
        <v>155</v>
      </c>
      <c r="B212" s="1">
        <v>50</v>
      </c>
      <c r="C212" s="1" t="s">
        <v>29</v>
      </c>
      <c r="D212" s="1">
        <v>3</v>
      </c>
      <c r="E212" s="1">
        <v>3.5007287533953702</v>
      </c>
      <c r="F212" s="1">
        <v>66.715569182299006</v>
      </c>
      <c r="G212" s="1">
        <v>1.9809857127070403E-2</v>
      </c>
      <c r="H212" s="1">
        <v>60.631904464960002</v>
      </c>
      <c r="I212" s="1">
        <v>149.25635461695401</v>
      </c>
      <c r="J212" s="1">
        <v>4.4703036744147499E-3</v>
      </c>
      <c r="K212" s="2">
        <v>0.11609999999999999</v>
      </c>
      <c r="L212" s="1">
        <v>0.31459999999999999</v>
      </c>
      <c r="M212" s="1">
        <v>0.20250000000000001</v>
      </c>
      <c r="N212">
        <v>7.7499999999999999E-2</v>
      </c>
      <c r="O212">
        <v>7.4999999999999997E-2</v>
      </c>
      <c r="P212">
        <v>8.5099999999999995E-2</v>
      </c>
      <c r="Q212">
        <v>9.3600000000000003E-2</v>
      </c>
      <c r="R212">
        <f t="shared" si="13"/>
        <v>-0.81999999999999984</v>
      </c>
      <c r="S212">
        <f t="shared" si="14"/>
        <v>-1.07</v>
      </c>
      <c r="T212">
        <f t="shared" si="15"/>
        <v>-6.0000000000000331E-2</v>
      </c>
      <c r="U212">
        <f t="shared" si="16"/>
        <v>0.79000000000000037</v>
      </c>
    </row>
    <row r="213" spans="1:21" x14ac:dyDescent="0.2">
      <c r="A213" s="1" t="s">
        <v>155</v>
      </c>
      <c r="B213" s="1">
        <v>50</v>
      </c>
      <c r="C213" s="1" t="s">
        <v>30</v>
      </c>
      <c r="D213" s="1">
        <v>3</v>
      </c>
      <c r="E213" s="1">
        <v>3.5007287533953702</v>
      </c>
      <c r="F213" s="1">
        <v>66.715569182299006</v>
      </c>
      <c r="G213" s="1">
        <v>1.9809857127070403E-2</v>
      </c>
      <c r="H213" s="1">
        <v>60.631904464960002</v>
      </c>
      <c r="I213" s="1">
        <v>149.25635461695401</v>
      </c>
      <c r="J213" s="1">
        <v>4.4703036744147499E-3</v>
      </c>
      <c r="K213" s="2">
        <v>0.12970000000000001</v>
      </c>
      <c r="L213" s="1">
        <v>0.27489999999999998</v>
      </c>
      <c r="M213" s="1">
        <v>0.2823</v>
      </c>
      <c r="N213">
        <v>8.8599999999999998E-2</v>
      </c>
      <c r="O213">
        <v>8.3900000000000002E-2</v>
      </c>
      <c r="P213">
        <v>9.2999999999999999E-2</v>
      </c>
      <c r="Q213">
        <v>8.9599999999999999E-2</v>
      </c>
      <c r="R213">
        <f t="shared" si="13"/>
        <v>0.28999999999999998</v>
      </c>
      <c r="S213">
        <f t="shared" si="14"/>
        <v>-0.1799999999999996</v>
      </c>
      <c r="T213">
        <f t="shared" si="15"/>
        <v>0.73000000000000009</v>
      </c>
      <c r="U213">
        <f t="shared" si="16"/>
        <v>0.39000000000000007</v>
      </c>
    </row>
    <row r="214" spans="1:21" x14ac:dyDescent="0.2">
      <c r="A214" s="1" t="s">
        <v>156</v>
      </c>
      <c r="B214" s="1">
        <v>51</v>
      </c>
      <c r="C214" s="1" t="s">
        <v>32</v>
      </c>
      <c r="D214" s="1">
        <v>3</v>
      </c>
      <c r="E214" s="1">
        <v>20.656851889099901</v>
      </c>
      <c r="F214" s="1">
        <v>80.290626677684401</v>
      </c>
      <c r="G214" s="1">
        <v>8.2502575808949694E-2</v>
      </c>
      <c r="H214" s="1">
        <v>54.932254183292301</v>
      </c>
      <c r="I214" s="1">
        <v>117.516608624719</v>
      </c>
      <c r="J214" s="1">
        <v>1.28877629605121E-3</v>
      </c>
      <c r="K214" s="2">
        <v>0.12</v>
      </c>
      <c r="L214" s="1">
        <v>0.25519999999999998</v>
      </c>
      <c r="M214" s="1">
        <v>0.1706</v>
      </c>
      <c r="N214">
        <v>7.0499999999999993E-2</v>
      </c>
      <c r="O214">
        <v>7.5800000000000006E-2</v>
      </c>
      <c r="P214">
        <v>7.9299999999999995E-2</v>
      </c>
      <c r="Q214">
        <v>8.4500000000000006E-2</v>
      </c>
      <c r="R214">
        <f t="shared" si="13"/>
        <v>-1.5200000000000005</v>
      </c>
      <c r="S214">
        <f t="shared" si="14"/>
        <v>-0.98999999999999921</v>
      </c>
      <c r="T214">
        <f t="shared" si="15"/>
        <v>-0.64000000000000024</v>
      </c>
      <c r="U214">
        <f t="shared" si="16"/>
        <v>-0.11999999999999927</v>
      </c>
    </row>
    <row r="215" spans="1:21" x14ac:dyDescent="0.2">
      <c r="A215" s="1" t="s">
        <v>156</v>
      </c>
      <c r="B215" s="1">
        <v>51</v>
      </c>
      <c r="C215" s="1" t="s">
        <v>33</v>
      </c>
      <c r="D215" s="1">
        <v>3</v>
      </c>
      <c r="E215" s="1">
        <v>20.656851889099901</v>
      </c>
      <c r="F215" s="1">
        <v>80.290626677684401</v>
      </c>
      <c r="G215" s="1">
        <v>8.2502575808949694E-2</v>
      </c>
      <c r="H215" s="1">
        <v>54.932254183292301</v>
      </c>
      <c r="I215" s="1">
        <v>117.516608624719</v>
      </c>
      <c r="J215" s="1">
        <v>1.28877629605121E-3</v>
      </c>
      <c r="K215" s="2">
        <v>0.12239999999999999</v>
      </c>
      <c r="L215" s="1">
        <v>0.25290000000000001</v>
      </c>
      <c r="M215" s="1">
        <v>0.1767</v>
      </c>
      <c r="N215">
        <v>7.2400000000000006E-2</v>
      </c>
      <c r="O215">
        <v>7.3200000000000001E-2</v>
      </c>
      <c r="P215">
        <v>7.5499999999999998E-2</v>
      </c>
      <c r="Q215">
        <v>8.4400000000000003E-2</v>
      </c>
      <c r="R215">
        <f t="shared" si="13"/>
        <v>-1.3299999999999992</v>
      </c>
      <c r="S215">
        <f t="shared" si="14"/>
        <v>-1.2499999999999998</v>
      </c>
      <c r="T215">
        <f t="shared" si="15"/>
        <v>-1.02</v>
      </c>
      <c r="U215">
        <f t="shared" si="16"/>
        <v>-0.12999999999999956</v>
      </c>
    </row>
    <row r="216" spans="1:21" x14ac:dyDescent="0.2">
      <c r="A216" s="1" t="s">
        <v>156</v>
      </c>
      <c r="B216" s="1">
        <v>51</v>
      </c>
      <c r="C216" s="1" t="s">
        <v>34</v>
      </c>
      <c r="D216" s="1">
        <v>3</v>
      </c>
      <c r="E216" s="1">
        <v>20.656851889099901</v>
      </c>
      <c r="F216" s="1">
        <v>80.290626677684401</v>
      </c>
      <c r="G216" s="1">
        <v>8.2502575808949694E-2</v>
      </c>
      <c r="H216" s="1">
        <v>54.932254183292301</v>
      </c>
      <c r="I216" s="1">
        <v>117.516608624719</v>
      </c>
      <c r="J216" s="1">
        <v>1.28877629605121E-3</v>
      </c>
      <c r="K216" s="2">
        <v>0.13489999999999999</v>
      </c>
      <c r="L216" s="1">
        <v>0.21659999999999999</v>
      </c>
      <c r="M216" s="1">
        <v>0.1394</v>
      </c>
      <c r="N216">
        <v>8.2100000000000006E-2</v>
      </c>
      <c r="O216">
        <v>8.8599999999999998E-2</v>
      </c>
      <c r="P216">
        <v>8.2900000000000001E-2</v>
      </c>
      <c r="Q216">
        <v>9.0800000000000006E-2</v>
      </c>
      <c r="R216">
        <f t="shared" si="13"/>
        <v>-0.35999999999999921</v>
      </c>
      <c r="S216">
        <f t="shared" si="14"/>
        <v>0.28999999999999998</v>
      </c>
      <c r="T216">
        <f t="shared" si="15"/>
        <v>-0.27999999999999969</v>
      </c>
      <c r="U216">
        <f t="shared" si="16"/>
        <v>0.51000000000000068</v>
      </c>
    </row>
    <row r="217" spans="1:21" x14ac:dyDescent="0.2">
      <c r="A217" s="1" t="s">
        <v>156</v>
      </c>
      <c r="B217" s="1">
        <v>51</v>
      </c>
      <c r="C217" s="1" t="s">
        <v>35</v>
      </c>
      <c r="D217" s="1">
        <v>3</v>
      </c>
      <c r="E217" s="1">
        <v>20.656851889099901</v>
      </c>
      <c r="F217" s="1">
        <v>80.290626677684401</v>
      </c>
      <c r="G217" s="1">
        <v>8.2502575808949694E-2</v>
      </c>
      <c r="H217" s="1">
        <v>54.932254183292301</v>
      </c>
      <c r="I217" s="1">
        <v>117.516608624719</v>
      </c>
      <c r="J217" s="1">
        <v>1.28877629605121E-3</v>
      </c>
      <c r="K217" s="2">
        <v>0.123</v>
      </c>
      <c r="L217" s="1">
        <v>0.23350000000000001</v>
      </c>
      <c r="M217" s="1">
        <v>0.1401</v>
      </c>
      <c r="N217">
        <v>7.0999999999999994E-2</v>
      </c>
      <c r="O217">
        <v>0.1038</v>
      </c>
      <c r="P217">
        <v>9.0300000000000005E-2</v>
      </c>
      <c r="Q217">
        <v>8.5199999999999998E-2</v>
      </c>
      <c r="R217">
        <f t="shared" si="13"/>
        <v>-1.4700000000000004</v>
      </c>
      <c r="S217">
        <f t="shared" si="14"/>
        <v>1.8100000000000005</v>
      </c>
      <c r="T217">
        <f t="shared" si="15"/>
        <v>0.46000000000000069</v>
      </c>
      <c r="U217">
        <f t="shared" si="16"/>
        <v>-5.0000000000000044E-2</v>
      </c>
    </row>
    <row r="218" spans="1:21" x14ac:dyDescent="0.2">
      <c r="A218" s="1" t="s">
        <v>157</v>
      </c>
      <c r="B218" s="1">
        <v>52</v>
      </c>
      <c r="C218" s="1" t="s">
        <v>37</v>
      </c>
      <c r="D218" s="1">
        <v>3</v>
      </c>
      <c r="E218" s="1">
        <v>9.6861096532083995</v>
      </c>
      <c r="F218" s="1">
        <v>18.871821598149801</v>
      </c>
      <c r="G218" s="1">
        <v>6.6273790064826602E-2</v>
      </c>
      <c r="H218" s="1">
        <v>97.550179740786504</v>
      </c>
      <c r="I218" s="1">
        <v>102.941818814724</v>
      </c>
      <c r="J218" s="1">
        <v>3.26651053410023E-4</v>
      </c>
      <c r="K218" s="2">
        <v>0.11749999999999999</v>
      </c>
      <c r="L218" s="1">
        <v>0.26469999999999999</v>
      </c>
      <c r="M218" s="1">
        <v>0.13919999999999999</v>
      </c>
      <c r="N218">
        <v>6.8400000000000002E-2</v>
      </c>
      <c r="O218">
        <v>7.17E-2</v>
      </c>
      <c r="P218">
        <v>7.9500000000000001E-2</v>
      </c>
      <c r="Q218">
        <v>8.5599999999999996E-2</v>
      </c>
      <c r="R218">
        <f t="shared" si="13"/>
        <v>-1.7299999999999995</v>
      </c>
      <c r="S218">
        <f t="shared" si="14"/>
        <v>-1.4</v>
      </c>
      <c r="T218">
        <f t="shared" si="15"/>
        <v>-0.61999999999999966</v>
      </c>
      <c r="U218">
        <f t="shared" si="16"/>
        <v>-1.0000000000000286E-2</v>
      </c>
    </row>
    <row r="219" spans="1:21" x14ac:dyDescent="0.2">
      <c r="A219" s="1" t="s">
        <v>157</v>
      </c>
      <c r="B219" s="1">
        <v>52</v>
      </c>
      <c r="C219" s="1" t="s">
        <v>38</v>
      </c>
      <c r="D219" s="1">
        <v>3</v>
      </c>
      <c r="E219" s="1">
        <v>9.6861096532083995</v>
      </c>
      <c r="F219" s="1">
        <v>18.871821598149801</v>
      </c>
      <c r="G219" s="1">
        <v>6.6273790064826602E-2</v>
      </c>
      <c r="H219" s="1">
        <v>97.550179740786504</v>
      </c>
      <c r="I219" s="1">
        <v>102.941818814724</v>
      </c>
      <c r="J219" s="1">
        <v>3.26651053410023E-4</v>
      </c>
      <c r="K219" s="2">
        <v>0.1565</v>
      </c>
      <c r="L219" s="1">
        <v>0.31040000000000001</v>
      </c>
      <c r="M219" s="1">
        <v>0.255</v>
      </c>
      <c r="N219">
        <v>7.0000000000000007E-2</v>
      </c>
      <c r="O219">
        <v>7.2499999999999995E-2</v>
      </c>
      <c r="P219">
        <v>7.6999999999999999E-2</v>
      </c>
      <c r="Q219">
        <v>8.9899999999999994E-2</v>
      </c>
      <c r="R219">
        <f t="shared" si="13"/>
        <v>-1.5699999999999992</v>
      </c>
      <c r="S219">
        <f t="shared" si="14"/>
        <v>-1.3200000000000003</v>
      </c>
      <c r="T219">
        <f t="shared" si="15"/>
        <v>-0.86999999999999988</v>
      </c>
      <c r="U219">
        <f t="shared" si="16"/>
        <v>0.41999999999999954</v>
      </c>
    </row>
    <row r="220" spans="1:21" x14ac:dyDescent="0.2">
      <c r="A220" s="1" t="s">
        <v>157</v>
      </c>
      <c r="B220" s="1">
        <v>52</v>
      </c>
      <c r="C220" s="1" t="s">
        <v>39</v>
      </c>
      <c r="D220" s="1">
        <v>3</v>
      </c>
      <c r="E220" s="1">
        <v>9.6861096532083995</v>
      </c>
      <c r="F220" s="1">
        <v>18.871821598149801</v>
      </c>
      <c r="G220" s="1">
        <v>6.6273790064826602E-2</v>
      </c>
      <c r="H220" s="1">
        <v>97.550179740786504</v>
      </c>
      <c r="I220" s="1">
        <v>102.941818814724</v>
      </c>
      <c r="J220" s="1">
        <v>3.26651053410023E-4</v>
      </c>
      <c r="K220" s="2">
        <v>0.34210000000000002</v>
      </c>
      <c r="L220" s="1">
        <v>0.29020000000000001</v>
      </c>
      <c r="M220" s="1">
        <v>0.19550000000000001</v>
      </c>
      <c r="N220">
        <v>7.3800000000000004E-2</v>
      </c>
      <c r="O220">
        <v>7.6799999999999993E-2</v>
      </c>
      <c r="P220">
        <v>8.6300000000000002E-2</v>
      </c>
      <c r="Q220">
        <v>8.7499999999999994E-2</v>
      </c>
      <c r="R220">
        <f t="shared" si="13"/>
        <v>-1.1899999999999993</v>
      </c>
      <c r="S220">
        <f t="shared" si="14"/>
        <v>-0.89000000000000046</v>
      </c>
      <c r="T220">
        <f t="shared" si="15"/>
        <v>6.0000000000000331E-2</v>
      </c>
      <c r="U220">
        <f t="shared" si="16"/>
        <v>0.1799999999999996</v>
      </c>
    </row>
    <row r="221" spans="1:21" x14ac:dyDescent="0.2">
      <c r="A221" s="1" t="s">
        <v>157</v>
      </c>
      <c r="B221" s="1">
        <v>52</v>
      </c>
      <c r="C221" s="1" t="s">
        <v>40</v>
      </c>
      <c r="D221" s="1">
        <v>3</v>
      </c>
      <c r="E221" s="1">
        <v>9.6861096532083995</v>
      </c>
      <c r="F221" s="1">
        <v>18.871821598149801</v>
      </c>
      <c r="G221" s="1">
        <v>6.6273790064826602E-2</v>
      </c>
      <c r="H221" s="1">
        <v>97.550179740786504</v>
      </c>
      <c r="I221" s="1">
        <v>102.941818814724</v>
      </c>
      <c r="J221" s="1">
        <v>3.26651053410023E-4</v>
      </c>
      <c r="K221" s="2">
        <v>0.156</v>
      </c>
      <c r="L221" s="1">
        <v>0.31919999999999998</v>
      </c>
      <c r="M221" s="1">
        <v>0.1706</v>
      </c>
      <c r="N221">
        <v>8.5699999999999998E-2</v>
      </c>
      <c r="O221">
        <v>8.9200000000000002E-2</v>
      </c>
      <c r="P221">
        <v>8.5300000000000001E-2</v>
      </c>
      <c r="Q221">
        <v>9.4500000000000001E-2</v>
      </c>
      <c r="R221">
        <f t="shared" si="13"/>
        <v>0</v>
      </c>
      <c r="S221">
        <f t="shared" si="14"/>
        <v>0.35000000000000031</v>
      </c>
      <c r="T221">
        <f t="shared" si="15"/>
        <v>-3.9999999999999758E-2</v>
      </c>
      <c r="U221">
        <f t="shared" si="16"/>
        <v>0.88000000000000023</v>
      </c>
    </row>
    <row r="222" spans="1:21" x14ac:dyDescent="0.2">
      <c r="A222" s="1" t="s">
        <v>158</v>
      </c>
      <c r="B222" s="1">
        <v>53</v>
      </c>
      <c r="C222" s="1" t="s">
        <v>42</v>
      </c>
      <c r="D222" s="1">
        <v>3</v>
      </c>
      <c r="E222" s="1">
        <v>27.319767477456399</v>
      </c>
      <c r="F222" s="1">
        <v>14.003427004441599</v>
      </c>
      <c r="G222" s="1">
        <v>6.7563311245664906E-2</v>
      </c>
      <c r="H222" s="1">
        <v>58.655616641789599</v>
      </c>
      <c r="I222" s="1">
        <v>19.879306163638802</v>
      </c>
      <c r="J222" s="1">
        <v>1.4948295361828E-3</v>
      </c>
      <c r="K222" s="2">
        <v>0.2394</v>
      </c>
      <c r="L222" s="1">
        <v>0.81420000000000003</v>
      </c>
      <c r="M222" s="1">
        <v>0.7288</v>
      </c>
      <c r="N222">
        <v>7.0499999999999993E-2</v>
      </c>
      <c r="O222">
        <v>8.4099999999999994E-2</v>
      </c>
      <c r="P222">
        <v>7.7600000000000002E-2</v>
      </c>
      <c r="Q222">
        <v>7.3200000000000001E-2</v>
      </c>
      <c r="R222">
        <f t="shared" si="13"/>
        <v>-1.5200000000000005</v>
      </c>
      <c r="S222">
        <f t="shared" si="14"/>
        <v>-0.16000000000000042</v>
      </c>
      <c r="T222">
        <f t="shared" si="15"/>
        <v>-0.80999999999999961</v>
      </c>
      <c r="U222">
        <f t="shared" si="16"/>
        <v>-1.2499999999999998</v>
      </c>
    </row>
    <row r="223" spans="1:21" x14ac:dyDescent="0.2">
      <c r="A223" s="1" t="s">
        <v>158</v>
      </c>
      <c r="B223" s="1">
        <v>53</v>
      </c>
      <c r="C223" s="1" t="s">
        <v>43</v>
      </c>
      <c r="D223" s="1">
        <v>3</v>
      </c>
      <c r="E223" s="1">
        <v>27.319767477456399</v>
      </c>
      <c r="F223" s="1">
        <v>14.003427004441599</v>
      </c>
      <c r="G223" s="1">
        <v>6.7563311245664906E-2</v>
      </c>
      <c r="H223" s="1">
        <v>58.655616641789599</v>
      </c>
      <c r="I223" s="1">
        <v>19.879306163638802</v>
      </c>
      <c r="J223" s="1">
        <v>1.4948295361828E-3</v>
      </c>
      <c r="K223" s="2">
        <v>0.2019</v>
      </c>
      <c r="L223" s="1">
        <v>0.50839999999999996</v>
      </c>
      <c r="M223" s="1">
        <v>1.1004</v>
      </c>
      <c r="N223">
        <v>7.1599999999999997E-2</v>
      </c>
      <c r="O223">
        <v>7.3099999999999998E-2</v>
      </c>
      <c r="P223">
        <v>8.9399999999999993E-2</v>
      </c>
      <c r="Q223">
        <v>7.4999999999999997E-2</v>
      </c>
      <c r="R223">
        <f t="shared" si="13"/>
        <v>-1.4100000000000001</v>
      </c>
      <c r="S223">
        <f t="shared" si="14"/>
        <v>-1.26</v>
      </c>
      <c r="T223">
        <f t="shared" si="15"/>
        <v>0.3699999999999995</v>
      </c>
      <c r="U223">
        <f t="shared" si="16"/>
        <v>-1.07</v>
      </c>
    </row>
    <row r="224" spans="1:21" x14ac:dyDescent="0.2">
      <c r="A224" s="1" t="s">
        <v>158</v>
      </c>
      <c r="B224" s="1">
        <v>53</v>
      </c>
      <c r="C224" s="1" t="s">
        <v>44</v>
      </c>
      <c r="D224" s="1">
        <v>3</v>
      </c>
      <c r="E224" s="1">
        <v>27.319767477456399</v>
      </c>
      <c r="F224" s="1">
        <v>14.003427004441599</v>
      </c>
      <c r="G224" s="1">
        <v>6.7563311245664906E-2</v>
      </c>
      <c r="H224" s="1">
        <v>58.655616641789599</v>
      </c>
      <c r="I224" s="1">
        <v>19.879306163638802</v>
      </c>
      <c r="J224" s="1">
        <v>1.4948295361828E-3</v>
      </c>
      <c r="K224" s="2">
        <v>0.19969999999999999</v>
      </c>
      <c r="L224" s="1">
        <v>0.32129999999999997</v>
      </c>
      <c r="M224" s="1">
        <v>0.85619999999999996</v>
      </c>
      <c r="N224">
        <v>8.3699999999999997E-2</v>
      </c>
      <c r="O224">
        <v>9.4700000000000006E-2</v>
      </c>
      <c r="P224">
        <v>0.09</v>
      </c>
      <c r="Q224">
        <v>8.1699999999999995E-2</v>
      </c>
      <c r="R224">
        <f t="shared" si="13"/>
        <v>-0.20000000000000018</v>
      </c>
      <c r="S224">
        <f t="shared" si="14"/>
        <v>0.9000000000000008</v>
      </c>
      <c r="T224">
        <f t="shared" si="15"/>
        <v>0.42999999999999983</v>
      </c>
      <c r="U224">
        <f t="shared" si="16"/>
        <v>-0.40000000000000036</v>
      </c>
    </row>
    <row r="225" spans="1:21" x14ac:dyDescent="0.2">
      <c r="A225" s="1" t="s">
        <v>158</v>
      </c>
      <c r="B225" s="1">
        <v>53</v>
      </c>
      <c r="C225" s="1" t="s">
        <v>45</v>
      </c>
      <c r="D225" s="1">
        <v>3</v>
      </c>
      <c r="E225" s="1">
        <v>27.319767477456399</v>
      </c>
      <c r="F225" s="1">
        <v>14.003427004441599</v>
      </c>
      <c r="G225" s="1">
        <v>6.7563311245664906E-2</v>
      </c>
      <c r="H225" s="1">
        <v>58.655616641789599</v>
      </c>
      <c r="I225" s="1">
        <v>19.879306163638802</v>
      </c>
      <c r="J225" s="1">
        <v>1.4948295361828E-3</v>
      </c>
      <c r="K225" s="2">
        <v>0.18310000000000001</v>
      </c>
      <c r="L225" s="1">
        <v>0.24879999999999999</v>
      </c>
      <c r="M225" s="1">
        <v>1.2805</v>
      </c>
      <c r="N225">
        <v>6.9800000000000001E-2</v>
      </c>
      <c r="O225">
        <v>8.9399999999999993E-2</v>
      </c>
      <c r="P225">
        <v>9.4E-2</v>
      </c>
      <c r="Q225">
        <v>7.7499999999999999E-2</v>
      </c>
      <c r="R225">
        <f t="shared" si="13"/>
        <v>-1.5899999999999996</v>
      </c>
      <c r="S225">
        <f t="shared" si="14"/>
        <v>0.3699999999999995</v>
      </c>
      <c r="T225">
        <f t="shared" si="15"/>
        <v>0.83000000000000018</v>
      </c>
      <c r="U225">
        <f t="shared" si="16"/>
        <v>-0.81999999999999984</v>
      </c>
    </row>
    <row r="226" spans="1:21" x14ac:dyDescent="0.2">
      <c r="A226" s="1" t="s">
        <v>159</v>
      </c>
      <c r="B226" s="1">
        <v>54</v>
      </c>
      <c r="C226" s="1" t="s">
        <v>47</v>
      </c>
      <c r="D226" s="1">
        <v>3</v>
      </c>
      <c r="E226" s="1">
        <v>29.152492252178401</v>
      </c>
      <c r="F226" s="1">
        <v>3.3880230225622601</v>
      </c>
      <c r="G226" s="1">
        <v>3.1307203863747399E-2</v>
      </c>
      <c r="H226" s="1">
        <v>5.9805233299732201</v>
      </c>
      <c r="I226" s="1">
        <v>148.71364482678399</v>
      </c>
      <c r="J226" s="1">
        <v>3.78460090062581E-3</v>
      </c>
      <c r="K226" s="2">
        <v>0.20669999999999999</v>
      </c>
      <c r="L226" s="1">
        <v>0.4047</v>
      </c>
      <c r="M226" s="1">
        <v>0.1489</v>
      </c>
      <c r="N226">
        <v>5.2699999999999997E-2</v>
      </c>
      <c r="O226">
        <v>5.3100000000000001E-2</v>
      </c>
      <c r="P226">
        <v>5.9200000000000003E-2</v>
      </c>
      <c r="Q226">
        <v>5.74E-2</v>
      </c>
      <c r="R226">
        <f t="shared" si="13"/>
        <v>-3.3000000000000003</v>
      </c>
      <c r="S226">
        <f t="shared" si="14"/>
        <v>-3.26</v>
      </c>
      <c r="T226">
        <f t="shared" si="15"/>
        <v>-2.6499999999999995</v>
      </c>
      <c r="U226">
        <f t="shared" si="16"/>
        <v>-2.8299999999999996</v>
      </c>
    </row>
    <row r="227" spans="1:21" x14ac:dyDescent="0.2">
      <c r="A227" s="1" t="s">
        <v>159</v>
      </c>
      <c r="B227" s="1">
        <v>54</v>
      </c>
      <c r="C227" s="1" t="s">
        <v>48</v>
      </c>
      <c r="D227" s="1">
        <v>3</v>
      </c>
      <c r="E227" s="1">
        <v>29.152492252178401</v>
      </c>
      <c r="F227" s="1">
        <v>3.3880230225622601</v>
      </c>
      <c r="G227" s="1">
        <v>3.1307203863747399E-2</v>
      </c>
      <c r="H227" s="1">
        <v>5.9805233299732201</v>
      </c>
      <c r="I227" s="1">
        <v>148.71364482678399</v>
      </c>
      <c r="J227" s="1">
        <v>3.78460090062581E-3</v>
      </c>
      <c r="K227" s="2">
        <v>0.2384</v>
      </c>
      <c r="L227" s="1">
        <v>0.16689999999999999</v>
      </c>
      <c r="M227" s="1">
        <v>0.15529999999999999</v>
      </c>
      <c r="N227">
        <v>5.3199999999999997E-2</v>
      </c>
      <c r="O227">
        <v>5.62E-2</v>
      </c>
      <c r="P227">
        <v>7.5300000000000006E-2</v>
      </c>
      <c r="Q227">
        <v>6.25E-2</v>
      </c>
      <c r="R227">
        <f t="shared" si="13"/>
        <v>-3.25</v>
      </c>
      <c r="S227">
        <f t="shared" si="14"/>
        <v>-2.9499999999999997</v>
      </c>
      <c r="T227">
        <f t="shared" si="15"/>
        <v>-1.0399999999999991</v>
      </c>
      <c r="U227">
        <f t="shared" si="16"/>
        <v>-2.3199999999999998</v>
      </c>
    </row>
    <row r="228" spans="1:21" x14ac:dyDescent="0.2">
      <c r="A228" s="1" t="s">
        <v>159</v>
      </c>
      <c r="B228" s="1">
        <v>54</v>
      </c>
      <c r="C228" s="1" t="s">
        <v>49</v>
      </c>
      <c r="D228" s="1">
        <v>3</v>
      </c>
      <c r="E228" s="1">
        <v>29.152492252178401</v>
      </c>
      <c r="F228" s="1">
        <v>3.3880230225622601</v>
      </c>
      <c r="G228" s="1">
        <v>3.1307203863747399E-2</v>
      </c>
      <c r="H228" s="1">
        <v>5.9805233299732201</v>
      </c>
      <c r="I228" s="1">
        <v>148.71364482678399</v>
      </c>
      <c r="J228" s="1">
        <v>3.78460090062581E-3</v>
      </c>
      <c r="K228" s="2">
        <v>0.28120000000000001</v>
      </c>
      <c r="L228" s="1">
        <v>0.28349999999999997</v>
      </c>
      <c r="M228" s="1">
        <v>0.16830000000000001</v>
      </c>
      <c r="N228">
        <v>5.9900000000000002E-2</v>
      </c>
      <c r="O228">
        <v>6.2600000000000003E-2</v>
      </c>
      <c r="P228">
        <v>6.7599999999999993E-2</v>
      </c>
      <c r="Q228">
        <v>5.9700000000000003E-2</v>
      </c>
      <c r="R228">
        <f t="shared" si="13"/>
        <v>-2.5799999999999996</v>
      </c>
      <c r="S228">
        <f t="shared" si="14"/>
        <v>-2.3099999999999996</v>
      </c>
      <c r="T228">
        <f t="shared" si="15"/>
        <v>-1.8100000000000005</v>
      </c>
      <c r="U228">
        <f t="shared" si="16"/>
        <v>-2.5999999999999996</v>
      </c>
    </row>
    <row r="229" spans="1:21" x14ac:dyDescent="0.2">
      <c r="A229" s="1" t="s">
        <v>159</v>
      </c>
      <c r="B229" s="1">
        <v>54</v>
      </c>
      <c r="C229" s="1" t="s">
        <v>50</v>
      </c>
      <c r="D229" s="1">
        <v>3</v>
      </c>
      <c r="E229" s="1">
        <v>29.152492252178401</v>
      </c>
      <c r="F229" s="1">
        <v>3.3880230225622601</v>
      </c>
      <c r="G229" s="1">
        <v>3.1307203863747399E-2</v>
      </c>
      <c r="H229" s="1">
        <v>5.9805233299732201</v>
      </c>
      <c r="I229" s="1">
        <v>148.71364482678399</v>
      </c>
      <c r="J229" s="1">
        <v>3.78460090062581E-3</v>
      </c>
      <c r="K229" s="2">
        <v>0.2999</v>
      </c>
      <c r="L229" s="1">
        <v>0.46889999999999998</v>
      </c>
      <c r="M229" s="1">
        <v>0.16589999999999999</v>
      </c>
      <c r="N229">
        <v>6.9400000000000003E-2</v>
      </c>
      <c r="O229">
        <v>7.3200000000000001E-2</v>
      </c>
      <c r="P229">
        <v>7.9399999999999998E-2</v>
      </c>
      <c r="Q229">
        <v>6.1899999999999997E-2</v>
      </c>
      <c r="R229">
        <f t="shared" si="13"/>
        <v>-1.6299999999999994</v>
      </c>
      <c r="S229">
        <f t="shared" si="14"/>
        <v>-1.2499999999999998</v>
      </c>
      <c r="T229">
        <f t="shared" si="15"/>
        <v>-0.63</v>
      </c>
      <c r="U229">
        <f t="shared" si="16"/>
        <v>-2.3800000000000003</v>
      </c>
    </row>
    <row r="230" spans="1:21" x14ac:dyDescent="0.2">
      <c r="A230" s="1" t="s">
        <v>160</v>
      </c>
      <c r="B230" s="1">
        <v>55</v>
      </c>
      <c r="C230" s="1" t="s">
        <v>52</v>
      </c>
      <c r="D230" s="1">
        <v>3</v>
      </c>
      <c r="E230" s="1">
        <v>0.674943805672228</v>
      </c>
      <c r="F230" s="1">
        <v>25.320557365193899</v>
      </c>
      <c r="G230" s="1">
        <v>7.3097510945238101E-2</v>
      </c>
      <c r="H230" s="1">
        <v>82.335468026250595</v>
      </c>
      <c r="I230" s="1">
        <v>26.517260377295301</v>
      </c>
      <c r="J230" s="1">
        <v>2.0832908560056199E-3</v>
      </c>
      <c r="K230" s="2">
        <v>0.2099</v>
      </c>
      <c r="L230" s="1">
        <v>0.42230000000000001</v>
      </c>
      <c r="M230" s="1">
        <v>0.20430000000000001</v>
      </c>
      <c r="N230">
        <v>8.2000000000000003E-2</v>
      </c>
      <c r="O230">
        <v>7.5899999999999995E-2</v>
      </c>
      <c r="P230">
        <v>8.2600000000000007E-2</v>
      </c>
      <c r="Q230">
        <v>7.9500000000000001E-2</v>
      </c>
      <c r="R230">
        <f t="shared" si="13"/>
        <v>-0.3699999999999995</v>
      </c>
      <c r="S230">
        <f t="shared" si="14"/>
        <v>-0.98000000000000032</v>
      </c>
      <c r="T230">
        <f t="shared" si="15"/>
        <v>-0.30999999999999917</v>
      </c>
      <c r="U230">
        <f t="shared" si="16"/>
        <v>-0.61999999999999966</v>
      </c>
    </row>
    <row r="231" spans="1:21" x14ac:dyDescent="0.2">
      <c r="A231" s="1" t="s">
        <v>160</v>
      </c>
      <c r="B231" s="1">
        <v>55</v>
      </c>
      <c r="C231" s="1" t="s">
        <v>53</v>
      </c>
      <c r="D231" s="1">
        <v>3</v>
      </c>
      <c r="E231" s="1">
        <v>0.674943805672228</v>
      </c>
      <c r="F231" s="1">
        <v>25.320557365193899</v>
      </c>
      <c r="G231" s="1">
        <v>7.3097510945238101E-2</v>
      </c>
      <c r="H231" s="1">
        <v>82.335468026250595</v>
      </c>
      <c r="I231" s="1">
        <v>26.517260377295301</v>
      </c>
      <c r="J231" s="1">
        <v>2.0832908560056199E-3</v>
      </c>
      <c r="K231" s="2">
        <v>0.16439999999999999</v>
      </c>
      <c r="L231" s="1">
        <v>0.50719999999999998</v>
      </c>
      <c r="M231" s="1">
        <v>0.19950000000000001</v>
      </c>
      <c r="N231">
        <v>7.6700000000000004E-2</v>
      </c>
      <c r="O231">
        <v>7.8200000000000006E-2</v>
      </c>
      <c r="P231">
        <v>9.9099999999999994E-2</v>
      </c>
      <c r="Q231">
        <v>8.5800000000000001E-2</v>
      </c>
      <c r="R231">
        <f t="shared" si="13"/>
        <v>-0.89999999999999936</v>
      </c>
      <c r="S231">
        <f t="shared" si="14"/>
        <v>-0.74999999999999922</v>
      </c>
      <c r="T231">
        <f t="shared" si="15"/>
        <v>1.3399999999999994</v>
      </c>
      <c r="U231">
        <f t="shared" si="16"/>
        <v>1.0000000000000286E-2</v>
      </c>
    </row>
    <row r="232" spans="1:21" x14ac:dyDescent="0.2">
      <c r="A232" s="1" t="s">
        <v>160</v>
      </c>
      <c r="B232" s="1">
        <v>55</v>
      </c>
      <c r="C232" s="1" t="s">
        <v>54</v>
      </c>
      <c r="D232" s="1">
        <v>3</v>
      </c>
      <c r="E232" s="1">
        <v>0.674943805672228</v>
      </c>
      <c r="F232" s="1">
        <v>25.320557365193899</v>
      </c>
      <c r="G232" s="1">
        <v>7.3097510945238101E-2</v>
      </c>
      <c r="H232" s="1">
        <v>82.335468026250595</v>
      </c>
      <c r="I232" s="1">
        <v>26.517260377295301</v>
      </c>
      <c r="J232" s="1">
        <v>2.0832908560056199E-3</v>
      </c>
      <c r="K232" s="2">
        <v>0.15659999999999999</v>
      </c>
      <c r="L232" s="1">
        <v>0.61199999999999999</v>
      </c>
      <c r="M232" s="1">
        <v>0.17829999999999999</v>
      </c>
      <c r="N232">
        <v>9.3700000000000006E-2</v>
      </c>
      <c r="O232">
        <v>8.8200000000000001E-2</v>
      </c>
      <c r="P232">
        <v>0.1116</v>
      </c>
      <c r="Q232">
        <v>0.1009</v>
      </c>
      <c r="R232">
        <f t="shared" si="13"/>
        <v>0.80000000000000071</v>
      </c>
      <c r="S232">
        <f t="shared" si="14"/>
        <v>0.25000000000000022</v>
      </c>
      <c r="T232">
        <f t="shared" si="15"/>
        <v>2.5900000000000007</v>
      </c>
      <c r="U232">
        <f t="shared" si="16"/>
        <v>1.5200000000000005</v>
      </c>
    </row>
    <row r="233" spans="1:21" x14ac:dyDescent="0.2">
      <c r="A233" s="1" t="s">
        <v>160</v>
      </c>
      <c r="B233" s="1">
        <v>55</v>
      </c>
      <c r="C233" s="1" t="s">
        <v>55</v>
      </c>
      <c r="D233" s="1">
        <v>3</v>
      </c>
      <c r="E233" s="1">
        <v>0.674943805672228</v>
      </c>
      <c r="F233" s="1">
        <v>25.320557365193899</v>
      </c>
      <c r="G233" s="1">
        <v>7.3097510945238101E-2</v>
      </c>
      <c r="H233" s="1">
        <v>82.335468026250595</v>
      </c>
      <c r="I233" s="1">
        <v>26.517260377295301</v>
      </c>
      <c r="J233" s="1">
        <v>2.0832908560056199E-3</v>
      </c>
      <c r="K233" s="2">
        <v>0.13389999999999999</v>
      </c>
      <c r="L233" s="1">
        <v>0.27050000000000002</v>
      </c>
      <c r="M233" s="1">
        <v>0.17829999999999999</v>
      </c>
      <c r="N233">
        <v>8.14E-2</v>
      </c>
      <c r="O233">
        <v>8.3099999999999993E-2</v>
      </c>
      <c r="P233">
        <v>8.3299999999999999E-2</v>
      </c>
      <c r="Q233">
        <v>8.9099999999999999E-2</v>
      </c>
      <c r="R233">
        <f t="shared" si="13"/>
        <v>-0.42999999999999983</v>
      </c>
      <c r="S233">
        <f t="shared" si="14"/>
        <v>-0.26000000000000051</v>
      </c>
      <c r="T233">
        <f t="shared" si="15"/>
        <v>-0.23999999999999994</v>
      </c>
      <c r="U233">
        <f t="shared" si="16"/>
        <v>0.34</v>
      </c>
    </row>
    <row r="234" spans="1:21" x14ac:dyDescent="0.2">
      <c r="A234" s="1" t="s">
        <v>161</v>
      </c>
      <c r="B234" s="1">
        <v>56</v>
      </c>
      <c r="C234" s="1" t="s">
        <v>57</v>
      </c>
      <c r="D234" s="1">
        <v>3</v>
      </c>
      <c r="E234" s="1">
        <v>46.205198624171302</v>
      </c>
      <c r="F234" s="1">
        <v>32.1004416411742</v>
      </c>
      <c r="G234" s="1">
        <v>6.3637265067920099E-2</v>
      </c>
      <c r="H234" s="1">
        <v>71.078175482153895</v>
      </c>
      <c r="I234" s="1">
        <v>77.624688483774605</v>
      </c>
      <c r="J234" s="1">
        <v>1.2576162939891202E-3</v>
      </c>
      <c r="K234" s="2">
        <v>0.13980000000000001</v>
      </c>
      <c r="L234" s="1">
        <v>0.25409999999999999</v>
      </c>
      <c r="M234" s="1">
        <v>0.84819999999999995</v>
      </c>
      <c r="N234">
        <v>6.7799999999999999E-2</v>
      </c>
      <c r="O234">
        <v>0.1162</v>
      </c>
      <c r="P234">
        <v>8.9099999999999999E-2</v>
      </c>
      <c r="Q234">
        <v>7.6899999999999996E-2</v>
      </c>
      <c r="R234">
        <f t="shared" si="13"/>
        <v>-1.7899999999999998</v>
      </c>
      <c r="S234">
        <f t="shared" si="14"/>
        <v>3.05</v>
      </c>
      <c r="T234">
        <f t="shared" si="15"/>
        <v>0.34</v>
      </c>
      <c r="U234">
        <f t="shared" si="16"/>
        <v>-0.88000000000000023</v>
      </c>
    </row>
    <row r="235" spans="1:21" x14ac:dyDescent="0.2">
      <c r="A235" s="1" t="s">
        <v>161</v>
      </c>
      <c r="B235" s="1">
        <v>56</v>
      </c>
      <c r="C235" s="1" t="s">
        <v>58</v>
      </c>
      <c r="D235" s="1">
        <v>3</v>
      </c>
      <c r="E235" s="1">
        <v>46.205198624171302</v>
      </c>
      <c r="F235" s="1">
        <v>32.1004416411742</v>
      </c>
      <c r="G235" s="1">
        <v>6.3637265067920099E-2</v>
      </c>
      <c r="H235" s="1">
        <v>71.078175482153895</v>
      </c>
      <c r="I235" s="1">
        <v>77.624688483774605</v>
      </c>
      <c r="J235" s="1">
        <v>1.2576162939891202E-3</v>
      </c>
      <c r="K235" s="2">
        <v>0.16220000000000001</v>
      </c>
      <c r="L235" s="1">
        <v>0.35549999999999998</v>
      </c>
      <c r="M235" s="1">
        <v>0.67500000000000004</v>
      </c>
      <c r="N235">
        <v>7.0499999999999993E-2</v>
      </c>
      <c r="O235">
        <v>8.14E-2</v>
      </c>
      <c r="P235">
        <v>8.4400000000000003E-2</v>
      </c>
      <c r="Q235">
        <v>7.9500000000000001E-2</v>
      </c>
      <c r="R235">
        <f t="shared" si="13"/>
        <v>-1.5200000000000005</v>
      </c>
      <c r="S235">
        <f t="shared" si="14"/>
        <v>-0.42999999999999983</v>
      </c>
      <c r="T235">
        <f t="shared" si="15"/>
        <v>-0.12999999999999956</v>
      </c>
      <c r="U235">
        <f t="shared" si="16"/>
        <v>-0.61999999999999966</v>
      </c>
    </row>
    <row r="236" spans="1:21" x14ac:dyDescent="0.2">
      <c r="A236" s="1" t="s">
        <v>161</v>
      </c>
      <c r="B236" s="1">
        <v>56</v>
      </c>
      <c r="C236" s="1" t="s">
        <v>59</v>
      </c>
      <c r="D236" s="1">
        <v>3</v>
      </c>
      <c r="E236" s="1">
        <v>46.205198624171302</v>
      </c>
      <c r="F236" s="1">
        <v>32.1004416411742</v>
      </c>
      <c r="G236" s="1">
        <v>6.3637265067920099E-2</v>
      </c>
      <c r="H236" s="1">
        <v>71.078175482153895</v>
      </c>
      <c r="I236" s="1">
        <v>77.624688483774605</v>
      </c>
      <c r="J236" s="1">
        <v>1.2576162939891202E-3</v>
      </c>
      <c r="K236" s="2">
        <v>0.16120000000000001</v>
      </c>
      <c r="L236" s="1">
        <v>0.28699999999999998</v>
      </c>
      <c r="M236" s="1">
        <v>0.56930000000000003</v>
      </c>
      <c r="N236">
        <v>7.5300000000000006E-2</v>
      </c>
      <c r="O236">
        <v>7.8100000000000003E-2</v>
      </c>
      <c r="P236">
        <v>8.5800000000000001E-2</v>
      </c>
      <c r="Q236">
        <v>7.0499999999999993E-2</v>
      </c>
      <c r="R236">
        <f t="shared" si="13"/>
        <v>-1.0399999999999991</v>
      </c>
      <c r="S236">
        <f t="shared" si="14"/>
        <v>-0.75999999999999956</v>
      </c>
      <c r="T236">
        <f t="shared" si="15"/>
        <v>1.0000000000000286E-2</v>
      </c>
      <c r="U236">
        <f t="shared" si="16"/>
        <v>-1.5200000000000005</v>
      </c>
    </row>
    <row r="237" spans="1:21" x14ac:dyDescent="0.2">
      <c r="A237" s="1" t="s">
        <v>161</v>
      </c>
      <c r="B237" s="1">
        <v>56</v>
      </c>
      <c r="C237" s="1" t="s">
        <v>60</v>
      </c>
      <c r="D237" s="1">
        <v>3</v>
      </c>
      <c r="E237" s="1">
        <v>46.205198624171302</v>
      </c>
      <c r="F237" s="1">
        <v>32.1004416411742</v>
      </c>
      <c r="G237" s="1">
        <v>6.3637265067920099E-2</v>
      </c>
      <c r="H237" s="1">
        <v>71.078175482153895</v>
      </c>
      <c r="I237" s="1">
        <v>77.624688483774605</v>
      </c>
      <c r="J237" s="1">
        <v>1.2576162939891202E-3</v>
      </c>
      <c r="K237" s="2">
        <v>0.15770000000000001</v>
      </c>
      <c r="L237" s="1">
        <v>0.22869999999999999</v>
      </c>
      <c r="M237" s="1">
        <v>1.3163</v>
      </c>
      <c r="N237">
        <v>8.43E-2</v>
      </c>
      <c r="O237">
        <v>8.8900000000000007E-2</v>
      </c>
      <c r="P237">
        <v>9.3799999999999994E-2</v>
      </c>
      <c r="Q237">
        <v>7.2999999999999995E-2</v>
      </c>
      <c r="R237">
        <f t="shared" si="13"/>
        <v>-0.13999999999999985</v>
      </c>
      <c r="S237">
        <f t="shared" si="14"/>
        <v>0.32000000000000084</v>
      </c>
      <c r="T237">
        <f t="shared" si="15"/>
        <v>0.80999999999999961</v>
      </c>
      <c r="U237">
        <f t="shared" si="16"/>
        <v>-1.2700000000000002</v>
      </c>
    </row>
    <row r="238" spans="1:21" x14ac:dyDescent="0.2">
      <c r="A238" s="1" t="s">
        <v>162</v>
      </c>
      <c r="B238" s="1">
        <v>57</v>
      </c>
      <c r="C238" s="1" t="s">
        <v>62</v>
      </c>
      <c r="D238" s="1">
        <v>3</v>
      </c>
      <c r="E238" s="1">
        <v>33.834016849286797</v>
      </c>
      <c r="F238" s="1">
        <v>24.337959186173901</v>
      </c>
      <c r="G238" s="1">
        <v>1.9350437910482198E-2</v>
      </c>
      <c r="H238" s="1">
        <v>68.337848901003596</v>
      </c>
      <c r="I238" s="1">
        <v>36.854258473031202</v>
      </c>
      <c r="J238" s="1">
        <v>8.7236292613670195E-5</v>
      </c>
      <c r="K238" s="2">
        <v>0.1699</v>
      </c>
      <c r="L238" s="1">
        <v>0.55420000000000003</v>
      </c>
      <c r="M238" s="1">
        <v>0.40810000000000002</v>
      </c>
      <c r="N238">
        <v>7.6300000000000007E-2</v>
      </c>
      <c r="O238">
        <v>8.3599999999999994E-2</v>
      </c>
      <c r="P238">
        <v>7.9799999999999996E-2</v>
      </c>
      <c r="Q238">
        <v>6.8000000000000005E-2</v>
      </c>
      <c r="R238">
        <f t="shared" si="13"/>
        <v>-0.93999999999999917</v>
      </c>
      <c r="S238">
        <f t="shared" si="14"/>
        <v>-0.21000000000000046</v>
      </c>
      <c r="T238">
        <f t="shared" si="15"/>
        <v>-0.59000000000000019</v>
      </c>
      <c r="U238">
        <f t="shared" si="16"/>
        <v>-1.7699999999999994</v>
      </c>
    </row>
    <row r="239" spans="1:21" x14ac:dyDescent="0.2">
      <c r="A239" s="1" t="s">
        <v>162</v>
      </c>
      <c r="B239" s="1">
        <v>57</v>
      </c>
      <c r="C239" s="1" t="s">
        <v>63</v>
      </c>
      <c r="D239" s="1">
        <v>3</v>
      </c>
      <c r="E239" s="1">
        <v>33.834016849286797</v>
      </c>
      <c r="F239" s="1">
        <v>24.337959186173901</v>
      </c>
      <c r="G239" s="1">
        <v>1.9350437910482198E-2</v>
      </c>
      <c r="H239" s="1">
        <v>68.337848901003596</v>
      </c>
      <c r="I239" s="1">
        <v>36.854258473031202</v>
      </c>
      <c r="J239" s="1">
        <v>8.7236292613670195E-5</v>
      </c>
      <c r="K239" s="2">
        <v>0.2984</v>
      </c>
      <c r="L239" s="1">
        <v>0.29849999999999999</v>
      </c>
      <c r="M239" s="1">
        <v>1.0498000000000001</v>
      </c>
      <c r="N239">
        <v>7.4499999999999997E-2</v>
      </c>
      <c r="O239">
        <v>8.09E-2</v>
      </c>
      <c r="P239">
        <v>9.4799999999999995E-2</v>
      </c>
      <c r="Q239">
        <v>7.2099999999999997E-2</v>
      </c>
      <c r="R239">
        <f t="shared" si="13"/>
        <v>-1.1200000000000001</v>
      </c>
      <c r="S239">
        <f t="shared" si="14"/>
        <v>-0.47999999999999987</v>
      </c>
      <c r="T239">
        <f t="shared" si="15"/>
        <v>0.9099999999999997</v>
      </c>
      <c r="U239">
        <f t="shared" si="16"/>
        <v>-1.36</v>
      </c>
    </row>
    <row r="240" spans="1:21" x14ac:dyDescent="0.2">
      <c r="A240" s="1" t="s">
        <v>162</v>
      </c>
      <c r="B240" s="1">
        <v>57</v>
      </c>
      <c r="C240" s="1" t="s">
        <v>64</v>
      </c>
      <c r="D240" s="1">
        <v>3</v>
      </c>
      <c r="E240" s="1">
        <v>33.834016849286797</v>
      </c>
      <c r="F240" s="1">
        <v>24.337959186173901</v>
      </c>
      <c r="G240" s="1">
        <v>1.9350437910482198E-2</v>
      </c>
      <c r="H240" s="1">
        <v>68.337848901003596</v>
      </c>
      <c r="I240" s="1">
        <v>36.854258473031202</v>
      </c>
      <c r="J240" s="1">
        <v>8.7236292613670195E-5</v>
      </c>
      <c r="K240" s="2">
        <v>0.28360000000000002</v>
      </c>
      <c r="L240" s="1">
        <v>0.2437</v>
      </c>
      <c r="M240" s="1">
        <v>0.316</v>
      </c>
      <c r="N240">
        <v>8.2400000000000001E-2</v>
      </c>
      <c r="O240">
        <v>0.1066</v>
      </c>
      <c r="P240">
        <v>0.10780000000000001</v>
      </c>
      <c r="Q240">
        <v>8.0199999999999994E-2</v>
      </c>
      <c r="R240">
        <f t="shared" si="13"/>
        <v>-0.32999999999999974</v>
      </c>
      <c r="S240">
        <f t="shared" si="14"/>
        <v>2.0900000000000003</v>
      </c>
      <c r="T240">
        <f t="shared" si="15"/>
        <v>2.2100000000000009</v>
      </c>
      <c r="U240">
        <f t="shared" si="16"/>
        <v>-0.55000000000000049</v>
      </c>
    </row>
    <row r="241" spans="1:21" x14ac:dyDescent="0.2">
      <c r="A241" s="1" t="s">
        <v>162</v>
      </c>
      <c r="B241" s="1">
        <v>57</v>
      </c>
      <c r="C241" s="1" t="s">
        <v>65</v>
      </c>
      <c r="D241" s="1">
        <v>3</v>
      </c>
      <c r="E241" s="1">
        <v>33.834016849286797</v>
      </c>
      <c r="F241" s="1">
        <v>24.337959186173901</v>
      </c>
      <c r="G241" s="1">
        <v>1.9350437910482198E-2</v>
      </c>
      <c r="H241" s="1">
        <v>68.337848901003596</v>
      </c>
      <c r="I241" s="1">
        <v>36.854258473031202</v>
      </c>
      <c r="J241" s="1">
        <v>8.7236292613670195E-5</v>
      </c>
      <c r="K241" s="2">
        <v>0.28560000000000002</v>
      </c>
      <c r="L241" s="1">
        <v>0.30409999999999998</v>
      </c>
      <c r="M241" s="1">
        <v>0.24199999999999999</v>
      </c>
      <c r="N241">
        <v>7.3099999999999998E-2</v>
      </c>
      <c r="O241">
        <v>8.2400000000000001E-2</v>
      </c>
      <c r="P241">
        <v>7.8100000000000003E-2</v>
      </c>
      <c r="Q241">
        <v>7.6399999999999996E-2</v>
      </c>
      <c r="R241">
        <f t="shared" si="13"/>
        <v>-1.26</v>
      </c>
      <c r="S241">
        <f t="shared" si="14"/>
        <v>-0.32999999999999974</v>
      </c>
      <c r="T241">
        <f t="shared" si="15"/>
        <v>-0.75999999999999956</v>
      </c>
      <c r="U241">
        <f t="shared" si="16"/>
        <v>-0.93000000000000027</v>
      </c>
    </row>
    <row r="242" spans="1:21" x14ac:dyDescent="0.2">
      <c r="A242" s="1" t="s">
        <v>163</v>
      </c>
      <c r="B242" s="1">
        <v>58</v>
      </c>
      <c r="C242" s="1" t="s">
        <v>67</v>
      </c>
      <c r="D242" s="1">
        <v>3</v>
      </c>
      <c r="E242" s="1">
        <v>16.085862843785399</v>
      </c>
      <c r="F242" s="1">
        <v>5.60556448809802</v>
      </c>
      <c r="G242" s="1">
        <v>9.9240697415172996E-2</v>
      </c>
      <c r="H242" s="1">
        <v>135.96252908185099</v>
      </c>
      <c r="I242" s="1">
        <v>49.889702503569403</v>
      </c>
      <c r="J242" s="1">
        <v>2.2335106813348798E-3</v>
      </c>
      <c r="K242" s="2">
        <v>0.15060000000000001</v>
      </c>
      <c r="L242" s="1">
        <v>0.3226</v>
      </c>
      <c r="M242" s="1">
        <v>0.25119999999999998</v>
      </c>
      <c r="N242">
        <v>7.4800000000000005E-2</v>
      </c>
      <c r="O242">
        <v>8.6199999999999999E-2</v>
      </c>
      <c r="P242">
        <v>9.0800000000000006E-2</v>
      </c>
      <c r="Q242">
        <v>8.2600000000000007E-2</v>
      </c>
      <c r="R242">
        <f t="shared" si="13"/>
        <v>-1.0899999999999992</v>
      </c>
      <c r="S242">
        <f t="shared" si="14"/>
        <v>5.0000000000000044E-2</v>
      </c>
      <c r="T242">
        <f t="shared" si="15"/>
        <v>0.51000000000000068</v>
      </c>
      <c r="U242">
        <f t="shared" si="16"/>
        <v>-0.30999999999999917</v>
      </c>
    </row>
    <row r="243" spans="1:21" x14ac:dyDescent="0.2">
      <c r="A243" s="1" t="s">
        <v>163</v>
      </c>
      <c r="B243" s="1">
        <v>58</v>
      </c>
      <c r="C243" s="1" t="s">
        <v>68</v>
      </c>
      <c r="D243" s="1">
        <v>3</v>
      </c>
      <c r="E243" s="1">
        <v>16.085862843785399</v>
      </c>
      <c r="F243" s="1">
        <v>5.60556448809802</v>
      </c>
      <c r="G243" s="1">
        <v>9.9240697415172996E-2</v>
      </c>
      <c r="H243" s="1">
        <v>135.96252908185099</v>
      </c>
      <c r="I243" s="1">
        <v>49.889702503569403</v>
      </c>
      <c r="J243" s="1">
        <v>2.2335106813348798E-3</v>
      </c>
      <c r="K243" s="2">
        <v>0.16350000000000001</v>
      </c>
      <c r="L243" s="1">
        <v>0.33579999999999999</v>
      </c>
      <c r="M243" s="1">
        <v>0.26769999999999999</v>
      </c>
      <c r="N243">
        <v>7.4300000000000005E-2</v>
      </c>
      <c r="O243">
        <v>0.1211</v>
      </c>
      <c r="P243">
        <v>0.15989999999999999</v>
      </c>
      <c r="Q243">
        <v>8.2900000000000001E-2</v>
      </c>
      <c r="R243">
        <f t="shared" si="13"/>
        <v>-1.1399999999999992</v>
      </c>
      <c r="S243">
        <f t="shared" si="14"/>
        <v>3.54</v>
      </c>
      <c r="T243">
        <f t="shared" si="15"/>
        <v>7.419999999999999</v>
      </c>
      <c r="U243">
        <f t="shared" si="16"/>
        <v>-0.27999999999999969</v>
      </c>
    </row>
    <row r="244" spans="1:21" x14ac:dyDescent="0.2">
      <c r="A244" s="1" t="s">
        <v>163</v>
      </c>
      <c r="B244" s="1">
        <v>58</v>
      </c>
      <c r="C244" s="1" t="s">
        <v>69</v>
      </c>
      <c r="D244" s="1">
        <v>3</v>
      </c>
      <c r="E244" s="1">
        <v>16.085862843785399</v>
      </c>
      <c r="F244" s="1">
        <v>5.60556448809802</v>
      </c>
      <c r="G244" s="1">
        <v>9.9240697415172996E-2</v>
      </c>
      <c r="H244" s="1">
        <v>135.96252908185099</v>
      </c>
      <c r="I244" s="1">
        <v>49.889702503569403</v>
      </c>
      <c r="J244" s="1">
        <v>2.2335106813348798E-3</v>
      </c>
      <c r="K244" s="2">
        <v>0.1077</v>
      </c>
      <c r="L244" s="1">
        <v>0.2646</v>
      </c>
      <c r="M244" s="1">
        <v>0.27800000000000002</v>
      </c>
      <c r="N244">
        <v>7.7399999999999997E-2</v>
      </c>
      <c r="O244">
        <v>8.2500000000000004E-2</v>
      </c>
      <c r="P244">
        <v>9.5000000000000001E-2</v>
      </c>
      <c r="Q244">
        <v>8.6400000000000005E-2</v>
      </c>
      <c r="R244">
        <f t="shared" si="13"/>
        <v>-0.83000000000000018</v>
      </c>
      <c r="S244">
        <f t="shared" si="14"/>
        <v>-0.31999999999999945</v>
      </c>
      <c r="T244">
        <f t="shared" si="15"/>
        <v>0.93000000000000027</v>
      </c>
      <c r="U244">
        <f t="shared" si="16"/>
        <v>7.0000000000000617E-2</v>
      </c>
    </row>
    <row r="245" spans="1:21" x14ac:dyDescent="0.2">
      <c r="A245" s="1" t="s">
        <v>163</v>
      </c>
      <c r="B245" s="1">
        <v>58</v>
      </c>
      <c r="C245" s="1" t="s">
        <v>70</v>
      </c>
      <c r="D245" s="1">
        <v>3</v>
      </c>
      <c r="E245" s="1">
        <v>16.085862843785399</v>
      </c>
      <c r="F245" s="1">
        <v>5.60556448809802</v>
      </c>
      <c r="G245" s="1">
        <v>9.9240697415172996E-2</v>
      </c>
      <c r="H245" s="1">
        <v>135.96252908185099</v>
      </c>
      <c r="I245" s="1">
        <v>49.889702503569403</v>
      </c>
      <c r="J245" s="1">
        <v>2.2335106813348798E-3</v>
      </c>
      <c r="K245" s="2">
        <v>0.15820000000000001</v>
      </c>
      <c r="L245" s="1">
        <v>0.33139999999999997</v>
      </c>
      <c r="M245" s="1">
        <v>0.2702</v>
      </c>
      <c r="N245">
        <v>9.4200000000000006E-2</v>
      </c>
      <c r="O245">
        <v>9.5399999999999999E-2</v>
      </c>
      <c r="P245">
        <v>0.1028</v>
      </c>
      <c r="Q245">
        <v>8.1799999999999998E-2</v>
      </c>
      <c r="R245">
        <f t="shared" si="13"/>
        <v>0.85000000000000075</v>
      </c>
      <c r="S245">
        <f t="shared" si="14"/>
        <v>0.97</v>
      </c>
      <c r="T245">
        <f t="shared" si="15"/>
        <v>1.7100000000000004</v>
      </c>
      <c r="U245">
        <f t="shared" si="16"/>
        <v>-0.39000000000000007</v>
      </c>
    </row>
    <row r="246" spans="1:21" x14ac:dyDescent="0.2">
      <c r="A246" s="1" t="s">
        <v>164</v>
      </c>
      <c r="B246" s="1">
        <v>59</v>
      </c>
      <c r="C246" s="1" t="s">
        <v>72</v>
      </c>
      <c r="D246" s="1">
        <v>3</v>
      </c>
      <c r="E246" s="1">
        <v>48.117617599666097</v>
      </c>
      <c r="F246" s="1">
        <v>12.972459938377099</v>
      </c>
      <c r="G246" s="1">
        <v>3.0101305820979099E-2</v>
      </c>
      <c r="H246" s="1">
        <v>146.642439808696</v>
      </c>
      <c r="I246" s="1">
        <v>59.728078781627097</v>
      </c>
      <c r="J246" s="1">
        <v>1.5509170433506301E-4</v>
      </c>
      <c r="K246" s="2">
        <v>0.14560000000000001</v>
      </c>
      <c r="L246" s="1">
        <v>0.15720000000000001</v>
      </c>
      <c r="M246" s="1">
        <v>0.14480000000000001</v>
      </c>
      <c r="N246">
        <v>8.4500000000000006E-2</v>
      </c>
      <c r="O246">
        <v>8.1100000000000005E-2</v>
      </c>
      <c r="P246">
        <v>0.2349</v>
      </c>
      <c r="Q246">
        <v>7.7600000000000002E-2</v>
      </c>
      <c r="R246">
        <f t="shared" si="13"/>
        <v>-0.11999999999999927</v>
      </c>
      <c r="S246">
        <f t="shared" si="14"/>
        <v>-0.4599999999999993</v>
      </c>
      <c r="T246">
        <f t="shared" si="15"/>
        <v>14.92</v>
      </c>
      <c r="U246">
        <f t="shared" si="16"/>
        <v>-0.80999999999999961</v>
      </c>
    </row>
    <row r="247" spans="1:21" x14ac:dyDescent="0.2">
      <c r="A247" s="1" t="s">
        <v>164</v>
      </c>
      <c r="B247" s="1">
        <v>59</v>
      </c>
      <c r="C247" s="1" t="s">
        <v>73</v>
      </c>
      <c r="D247" s="1">
        <v>3</v>
      </c>
      <c r="E247" s="1">
        <v>48.117617599666097</v>
      </c>
      <c r="F247" s="1">
        <v>12.972459938377099</v>
      </c>
      <c r="G247" s="1">
        <v>3.0101305820979099E-2</v>
      </c>
      <c r="H247" s="1">
        <v>146.642439808696</v>
      </c>
      <c r="I247" s="1">
        <v>59.728078781627097</v>
      </c>
      <c r="J247" s="1">
        <v>1.5509170433506301E-4</v>
      </c>
      <c r="K247" s="2">
        <v>0.1338</v>
      </c>
      <c r="L247" s="1">
        <v>0.18160000000000001</v>
      </c>
      <c r="M247" s="1">
        <v>0.1792</v>
      </c>
      <c r="N247">
        <v>8.5999999999999993E-2</v>
      </c>
      <c r="O247">
        <v>8.7800000000000003E-2</v>
      </c>
      <c r="P247">
        <v>9.4700000000000006E-2</v>
      </c>
      <c r="Q247">
        <v>7.9699999999999993E-2</v>
      </c>
      <c r="R247">
        <f t="shared" si="13"/>
        <v>2.9999999999999472E-2</v>
      </c>
      <c r="S247">
        <f t="shared" si="14"/>
        <v>0.21000000000000046</v>
      </c>
      <c r="T247">
        <f t="shared" si="15"/>
        <v>0.9000000000000008</v>
      </c>
      <c r="U247">
        <f t="shared" si="16"/>
        <v>-0.60000000000000053</v>
      </c>
    </row>
    <row r="248" spans="1:21" x14ac:dyDescent="0.2">
      <c r="A248" s="1" t="s">
        <v>164</v>
      </c>
      <c r="B248" s="1">
        <v>59</v>
      </c>
      <c r="C248" s="1" t="s">
        <v>74</v>
      </c>
      <c r="D248" s="1">
        <v>3</v>
      </c>
      <c r="E248" s="1">
        <v>48.117617599666097</v>
      </c>
      <c r="F248" s="1">
        <v>12.972459938377099</v>
      </c>
      <c r="G248" s="1">
        <v>3.0101305820979099E-2</v>
      </c>
      <c r="H248" s="1">
        <v>146.642439808696</v>
      </c>
      <c r="I248" s="1">
        <v>59.728078781627097</v>
      </c>
      <c r="J248" s="1">
        <v>1.5509170433506301E-4</v>
      </c>
      <c r="K248" s="2">
        <v>0.1966</v>
      </c>
      <c r="L248" s="1">
        <v>0.24260000000000001</v>
      </c>
      <c r="M248" s="1">
        <v>0.13370000000000001</v>
      </c>
      <c r="N248">
        <v>8.6199999999999999E-2</v>
      </c>
      <c r="O248">
        <v>0.1048</v>
      </c>
      <c r="P248">
        <v>0.14369999999999999</v>
      </c>
      <c r="Q248">
        <v>8.6900000000000005E-2</v>
      </c>
      <c r="R248">
        <f t="shared" si="13"/>
        <v>5.0000000000000044E-2</v>
      </c>
      <c r="S248">
        <f t="shared" si="14"/>
        <v>1.9100000000000006</v>
      </c>
      <c r="T248">
        <f t="shared" si="15"/>
        <v>5.8</v>
      </c>
      <c r="U248">
        <f t="shared" si="16"/>
        <v>0.12000000000000066</v>
      </c>
    </row>
    <row r="249" spans="1:21" x14ac:dyDescent="0.2">
      <c r="A249" s="1" t="s">
        <v>164</v>
      </c>
      <c r="B249" s="1">
        <v>59</v>
      </c>
      <c r="C249" s="1" t="s">
        <v>75</v>
      </c>
      <c r="D249" s="1">
        <v>3</v>
      </c>
      <c r="E249" s="1">
        <v>48.117617599666097</v>
      </c>
      <c r="F249" s="1">
        <v>12.972459938377099</v>
      </c>
      <c r="G249" s="1">
        <v>3.0101305820979099E-2</v>
      </c>
      <c r="H249" s="1">
        <v>146.642439808696</v>
      </c>
      <c r="I249" s="1">
        <v>59.728078781627097</v>
      </c>
      <c r="J249" s="1">
        <v>1.5509170433506301E-4</v>
      </c>
      <c r="K249" s="2">
        <v>0.12759999999999999</v>
      </c>
      <c r="L249" s="1">
        <v>0.25409999999999999</v>
      </c>
      <c r="M249" s="1">
        <v>0.17510000000000001</v>
      </c>
      <c r="N249">
        <v>8.3000000000000004E-2</v>
      </c>
      <c r="O249">
        <v>0.1071</v>
      </c>
      <c r="P249">
        <v>8.2699999999999996E-2</v>
      </c>
      <c r="Q249">
        <v>8.2600000000000007E-2</v>
      </c>
      <c r="R249">
        <f t="shared" si="13"/>
        <v>-0.26999999999999941</v>
      </c>
      <c r="S249">
        <f t="shared" si="14"/>
        <v>2.14</v>
      </c>
      <c r="T249">
        <f t="shared" si="15"/>
        <v>-0.30000000000000027</v>
      </c>
      <c r="U249">
        <f t="shared" si="16"/>
        <v>-0.30999999999999917</v>
      </c>
    </row>
    <row r="250" spans="1:21" x14ac:dyDescent="0.2">
      <c r="A250" s="1" t="s">
        <v>165</v>
      </c>
      <c r="B250" s="1">
        <v>60</v>
      </c>
      <c r="C250" s="1" t="s">
        <v>77</v>
      </c>
      <c r="D250" s="1">
        <v>3</v>
      </c>
      <c r="E250" s="1">
        <v>31.3618233166635</v>
      </c>
      <c r="F250" s="1">
        <v>52.030771737918201</v>
      </c>
      <c r="G250" s="1">
        <v>5.0972423435002495E-2</v>
      </c>
      <c r="H250" s="1">
        <v>44.449166726320897</v>
      </c>
      <c r="I250" s="1">
        <v>67.157496842555702</v>
      </c>
      <c r="J250" s="1">
        <v>1.18539176578633E-3</v>
      </c>
      <c r="K250" s="2">
        <v>0.1482</v>
      </c>
      <c r="L250" s="1">
        <v>0.27789999999999998</v>
      </c>
      <c r="M250" s="1">
        <v>0.15690000000000001</v>
      </c>
      <c r="N250">
        <v>6.2199999999999998E-2</v>
      </c>
      <c r="O250">
        <v>6.7199999999999996E-2</v>
      </c>
      <c r="P250">
        <v>7.6899999999999996E-2</v>
      </c>
      <c r="Q250">
        <v>7.4499999999999997E-2</v>
      </c>
      <c r="R250">
        <f t="shared" si="13"/>
        <v>-2.35</v>
      </c>
      <c r="S250">
        <f t="shared" si="14"/>
        <v>-1.8500000000000003</v>
      </c>
      <c r="T250">
        <f t="shared" si="15"/>
        <v>-0.88000000000000023</v>
      </c>
      <c r="U250">
        <f t="shared" si="16"/>
        <v>-1.1200000000000001</v>
      </c>
    </row>
    <row r="251" spans="1:21" x14ac:dyDescent="0.2">
      <c r="A251" s="1" t="s">
        <v>165</v>
      </c>
      <c r="B251" s="1">
        <v>60</v>
      </c>
      <c r="C251" s="1" t="s">
        <v>78</v>
      </c>
      <c r="D251" s="1">
        <v>3</v>
      </c>
      <c r="E251" s="1">
        <v>31.3618233166635</v>
      </c>
      <c r="F251" s="1">
        <v>52.030771737918201</v>
      </c>
      <c r="G251" s="1">
        <v>5.0972423435002495E-2</v>
      </c>
      <c r="H251" s="1">
        <v>44.449166726320897</v>
      </c>
      <c r="I251" s="1">
        <v>67.157496842555702</v>
      </c>
      <c r="J251" s="1">
        <v>1.18539176578633E-3</v>
      </c>
      <c r="K251" s="2">
        <v>0.15759999999999999</v>
      </c>
      <c r="L251" s="1">
        <v>0.27460000000000001</v>
      </c>
      <c r="M251" s="1">
        <v>0.15859999999999999</v>
      </c>
      <c r="N251">
        <v>6.7000000000000004E-2</v>
      </c>
      <c r="O251">
        <v>7.6100000000000001E-2</v>
      </c>
      <c r="P251">
        <v>9.9299999999999999E-2</v>
      </c>
      <c r="Q251">
        <v>7.5200000000000003E-2</v>
      </c>
      <c r="R251">
        <f t="shared" si="13"/>
        <v>-1.8699999999999994</v>
      </c>
      <c r="S251">
        <f t="shared" si="14"/>
        <v>-0.95999999999999974</v>
      </c>
      <c r="T251">
        <f t="shared" si="15"/>
        <v>1.36</v>
      </c>
      <c r="U251">
        <f t="shared" si="16"/>
        <v>-1.0499999999999996</v>
      </c>
    </row>
    <row r="252" spans="1:21" x14ac:dyDescent="0.2">
      <c r="A252" s="1" t="s">
        <v>165</v>
      </c>
      <c r="B252" s="1">
        <v>60</v>
      </c>
      <c r="C252" s="1" t="s">
        <v>79</v>
      </c>
      <c r="D252" s="1">
        <v>3</v>
      </c>
      <c r="E252" s="1">
        <v>31.3618233166635</v>
      </c>
      <c r="F252" s="1">
        <v>52.030771737918201</v>
      </c>
      <c r="G252" s="1">
        <v>5.0972423435002495E-2</v>
      </c>
      <c r="H252" s="1">
        <v>44.449166726320897</v>
      </c>
      <c r="I252" s="1">
        <v>67.157496842555702</v>
      </c>
      <c r="J252" s="1">
        <v>1.18539176578633E-3</v>
      </c>
      <c r="K252" s="2">
        <v>0.1555</v>
      </c>
      <c r="L252" s="1">
        <v>0.28050000000000003</v>
      </c>
      <c r="M252" s="1">
        <v>0.1648</v>
      </c>
      <c r="N252">
        <v>7.2900000000000006E-2</v>
      </c>
      <c r="O252">
        <v>7.3200000000000001E-2</v>
      </c>
      <c r="P252">
        <v>8.7999999999999995E-2</v>
      </c>
      <c r="Q252">
        <v>7.4200000000000002E-2</v>
      </c>
      <c r="R252">
        <f t="shared" si="13"/>
        <v>-1.2799999999999991</v>
      </c>
      <c r="S252">
        <f t="shared" si="14"/>
        <v>-1.2499999999999998</v>
      </c>
      <c r="T252">
        <f t="shared" si="15"/>
        <v>0.22999999999999965</v>
      </c>
      <c r="U252">
        <f t="shared" si="16"/>
        <v>-1.1499999999999997</v>
      </c>
    </row>
    <row r="253" spans="1:21" x14ac:dyDescent="0.2">
      <c r="A253" s="1" t="s">
        <v>165</v>
      </c>
      <c r="B253" s="1">
        <v>60</v>
      </c>
      <c r="C253" s="1" t="s">
        <v>80</v>
      </c>
      <c r="D253" s="1">
        <v>3</v>
      </c>
      <c r="E253" s="1">
        <v>31.3618233166635</v>
      </c>
      <c r="F253" s="1">
        <v>52.030771737918201</v>
      </c>
      <c r="G253" s="1">
        <v>5.0972423435002495E-2</v>
      </c>
      <c r="H253" s="1">
        <v>44.449166726320897</v>
      </c>
      <c r="I253" s="1">
        <v>67.157496842555702</v>
      </c>
      <c r="J253" s="1">
        <v>1.18539176578633E-3</v>
      </c>
      <c r="K253" s="2">
        <v>0.1888</v>
      </c>
      <c r="L253" s="1">
        <v>0.27360000000000001</v>
      </c>
      <c r="M253" s="1">
        <v>0.14119999999999999</v>
      </c>
      <c r="N253">
        <v>8.5300000000000001E-2</v>
      </c>
      <c r="O253">
        <v>0.94279999999999997</v>
      </c>
      <c r="P253">
        <v>0.23430000000000001</v>
      </c>
      <c r="Q253">
        <v>7.1099999999999997E-2</v>
      </c>
      <c r="R253">
        <f t="shared" si="13"/>
        <v>-3.9999999999999758E-2</v>
      </c>
      <c r="S253">
        <f t="shared" si="14"/>
        <v>85.71</v>
      </c>
      <c r="T253">
        <f t="shared" si="15"/>
        <v>14.860000000000001</v>
      </c>
      <c r="U253">
        <f t="shared" si="16"/>
        <v>-1.4600000000000002</v>
      </c>
    </row>
    <row r="254" spans="1:21" x14ac:dyDescent="0.2">
      <c r="A254" s="1" t="s">
        <v>166</v>
      </c>
      <c r="B254" s="1">
        <v>61</v>
      </c>
      <c r="C254" s="1" t="s">
        <v>82</v>
      </c>
      <c r="D254" s="1">
        <v>3</v>
      </c>
      <c r="E254" s="1">
        <v>6.2191432230174497</v>
      </c>
      <c r="F254" s="1">
        <v>2.5059074508026198</v>
      </c>
      <c r="G254" s="1">
        <v>9.3355115203373099E-2</v>
      </c>
      <c r="H254" s="1">
        <v>36.772408131509998</v>
      </c>
      <c r="I254" s="1">
        <v>61.6103098215535</v>
      </c>
      <c r="J254" s="1">
        <v>4.1454623548313899E-3</v>
      </c>
      <c r="K254" s="2">
        <v>0.30570000000000003</v>
      </c>
      <c r="L254" s="1">
        <v>0.73509999999999998</v>
      </c>
      <c r="M254" s="1">
        <v>1.2697000000000001</v>
      </c>
      <c r="N254">
        <v>7.22E-2</v>
      </c>
      <c r="O254">
        <v>7.3099999999999998E-2</v>
      </c>
      <c r="P254">
        <v>8.3799999999999999E-2</v>
      </c>
      <c r="Q254">
        <v>8.1199999999999994E-2</v>
      </c>
      <c r="R254">
        <f t="shared" si="13"/>
        <v>-1.3499999999999999</v>
      </c>
      <c r="S254">
        <f t="shared" si="14"/>
        <v>-1.26</v>
      </c>
      <c r="T254">
        <f t="shared" si="15"/>
        <v>-0.18999999999999989</v>
      </c>
      <c r="U254">
        <f t="shared" si="16"/>
        <v>-0.4500000000000004</v>
      </c>
    </row>
    <row r="255" spans="1:21" x14ac:dyDescent="0.2">
      <c r="A255" s="1" t="s">
        <v>166</v>
      </c>
      <c r="B255" s="1">
        <v>61</v>
      </c>
      <c r="C255" s="1" t="s">
        <v>83</v>
      </c>
      <c r="D255" s="1">
        <v>3</v>
      </c>
      <c r="E255" s="1">
        <v>6.2191432230174497</v>
      </c>
      <c r="F255" s="1">
        <v>2.5059074508026198</v>
      </c>
      <c r="G255" s="1">
        <v>9.3355115203373099E-2</v>
      </c>
      <c r="H255" s="1">
        <v>36.772408131509998</v>
      </c>
      <c r="I255" s="1">
        <v>61.6103098215535</v>
      </c>
      <c r="J255" s="1">
        <v>4.1454623548313899E-3</v>
      </c>
      <c r="K255" s="2">
        <v>0.28179999999999999</v>
      </c>
      <c r="L255" s="1">
        <v>0.76739999999999997</v>
      </c>
      <c r="M255" s="1">
        <v>0.29039999999999999</v>
      </c>
      <c r="N255">
        <v>7.2099999999999997E-2</v>
      </c>
      <c r="O255">
        <v>7.3499999999999996E-2</v>
      </c>
      <c r="P255">
        <v>0.1744</v>
      </c>
      <c r="Q255">
        <v>7.3200000000000001E-2</v>
      </c>
      <c r="R255">
        <f t="shared" si="13"/>
        <v>-1.36</v>
      </c>
      <c r="S255">
        <f t="shared" si="14"/>
        <v>-1.2200000000000002</v>
      </c>
      <c r="T255">
        <f t="shared" si="15"/>
        <v>8.8699999999999992</v>
      </c>
      <c r="U255">
        <f t="shared" si="16"/>
        <v>-1.2499999999999998</v>
      </c>
    </row>
    <row r="256" spans="1:21" x14ac:dyDescent="0.2">
      <c r="A256" s="1" t="s">
        <v>166</v>
      </c>
      <c r="B256" s="1">
        <v>61</v>
      </c>
      <c r="C256" s="1" t="s">
        <v>84</v>
      </c>
      <c r="D256" s="1">
        <v>3</v>
      </c>
      <c r="E256" s="1">
        <v>6.2191432230174497</v>
      </c>
      <c r="F256" s="1">
        <v>2.5059074508026198</v>
      </c>
      <c r="G256" s="1">
        <v>9.3355115203373099E-2</v>
      </c>
      <c r="H256" s="1">
        <v>36.772408131509998</v>
      </c>
      <c r="I256" s="1">
        <v>61.6103098215535</v>
      </c>
      <c r="J256" s="1">
        <v>4.1454623548313899E-3</v>
      </c>
      <c r="K256" s="2">
        <v>0.32679999999999998</v>
      </c>
      <c r="L256" s="1">
        <v>0.70099999999999996</v>
      </c>
      <c r="M256" s="1">
        <v>0.55589999999999995</v>
      </c>
      <c r="N256">
        <v>8.2100000000000006E-2</v>
      </c>
      <c r="O256">
        <v>7.5999999999999998E-2</v>
      </c>
      <c r="P256">
        <v>0.39240000000000003</v>
      </c>
      <c r="Q256">
        <v>8.8700000000000001E-2</v>
      </c>
      <c r="R256">
        <f t="shared" si="13"/>
        <v>-0.35999999999999921</v>
      </c>
      <c r="S256">
        <f t="shared" si="14"/>
        <v>-0.97</v>
      </c>
      <c r="T256">
        <f t="shared" si="15"/>
        <v>30.67</v>
      </c>
      <c r="U256">
        <f t="shared" si="16"/>
        <v>0.30000000000000027</v>
      </c>
    </row>
    <row r="257" spans="1:21" x14ac:dyDescent="0.2">
      <c r="A257" s="1" t="s">
        <v>166</v>
      </c>
      <c r="B257" s="1">
        <v>61</v>
      </c>
      <c r="C257" s="1" t="s">
        <v>85</v>
      </c>
      <c r="D257" s="1">
        <v>3</v>
      </c>
      <c r="E257" s="1">
        <v>6.2191432230174497</v>
      </c>
      <c r="F257" s="1">
        <v>2.5059074508026198</v>
      </c>
      <c r="G257" s="1">
        <v>9.3355115203373099E-2</v>
      </c>
      <c r="H257" s="1">
        <v>36.772408131509998</v>
      </c>
      <c r="I257" s="1">
        <v>61.6103098215535</v>
      </c>
      <c r="J257" s="1">
        <v>4.1454623548313899E-3</v>
      </c>
      <c r="K257" s="2">
        <v>0.31559999999999999</v>
      </c>
      <c r="L257" s="1">
        <v>0.4874</v>
      </c>
      <c r="M257" s="1">
        <v>0.30530000000000002</v>
      </c>
      <c r="N257">
        <v>7.2499999999999995E-2</v>
      </c>
      <c r="O257">
        <v>6.9900000000000004E-2</v>
      </c>
      <c r="P257">
        <v>8.5800000000000001E-2</v>
      </c>
      <c r="Q257">
        <v>9.1899999999999996E-2</v>
      </c>
      <c r="R257">
        <f t="shared" si="13"/>
        <v>-1.3200000000000003</v>
      </c>
      <c r="S257">
        <f t="shared" si="14"/>
        <v>-1.5799999999999994</v>
      </c>
      <c r="T257">
        <f t="shared" si="15"/>
        <v>1.0000000000000286E-2</v>
      </c>
      <c r="U257">
        <f t="shared" si="16"/>
        <v>0.61999999999999966</v>
      </c>
    </row>
    <row r="258" spans="1:21" x14ac:dyDescent="0.2">
      <c r="A258" s="1" t="s">
        <v>167</v>
      </c>
      <c r="B258" s="1">
        <v>62</v>
      </c>
      <c r="C258" s="1" t="s">
        <v>87</v>
      </c>
      <c r="D258" s="1">
        <v>3</v>
      </c>
      <c r="E258" s="1">
        <v>7.3559230323880902</v>
      </c>
      <c r="F258" s="1">
        <v>4.2309097703546197</v>
      </c>
      <c r="G258" s="1">
        <v>2.7059117108583402E-3</v>
      </c>
      <c r="H258" s="1">
        <v>102.249141141027</v>
      </c>
      <c r="I258" s="1">
        <v>119.925209647044</v>
      </c>
      <c r="J258" s="1">
        <v>4.09243475738912E-3</v>
      </c>
      <c r="K258" s="2">
        <v>0.17469999999999999</v>
      </c>
      <c r="L258" s="1">
        <v>0.39479999999999998</v>
      </c>
      <c r="M258" s="1">
        <v>0.1847</v>
      </c>
      <c r="N258">
        <v>7.4700000000000003E-2</v>
      </c>
      <c r="O258">
        <v>7.9299999999999995E-2</v>
      </c>
      <c r="P258">
        <v>0.2873</v>
      </c>
      <c r="Q258">
        <v>8.7300000000000003E-2</v>
      </c>
      <c r="R258">
        <f t="shared" si="13"/>
        <v>-1.0999999999999996</v>
      </c>
      <c r="S258">
        <f t="shared" si="14"/>
        <v>-0.64000000000000024</v>
      </c>
      <c r="T258">
        <f t="shared" si="15"/>
        <v>20.16</v>
      </c>
      <c r="U258">
        <f t="shared" si="16"/>
        <v>0.16000000000000042</v>
      </c>
    </row>
    <row r="259" spans="1:21" x14ac:dyDescent="0.2">
      <c r="A259" s="1" t="s">
        <v>167</v>
      </c>
      <c r="B259" s="1">
        <v>62</v>
      </c>
      <c r="C259" s="1" t="s">
        <v>88</v>
      </c>
      <c r="D259" s="1">
        <v>3</v>
      </c>
      <c r="E259" s="1">
        <v>7.3559230323880902</v>
      </c>
      <c r="F259" s="1">
        <v>4.2309097703546197</v>
      </c>
      <c r="G259" s="1">
        <v>2.7059117108583402E-3</v>
      </c>
      <c r="H259" s="1">
        <v>102.249141141027</v>
      </c>
      <c r="I259" s="1">
        <v>119.925209647044</v>
      </c>
      <c r="J259" s="1">
        <v>4.09243475738912E-3</v>
      </c>
      <c r="K259" s="2">
        <v>0.17430000000000001</v>
      </c>
      <c r="L259" s="1">
        <v>1.3019000000000001</v>
      </c>
      <c r="M259" s="1">
        <v>0.17799999999999999</v>
      </c>
      <c r="N259">
        <v>7.3800000000000004E-2</v>
      </c>
      <c r="O259">
        <v>7.2800000000000004E-2</v>
      </c>
      <c r="P259">
        <v>8.9599999999999999E-2</v>
      </c>
      <c r="Q259">
        <v>9.2499999999999999E-2</v>
      </c>
      <c r="R259">
        <f t="shared" ref="R259:R289" si="17">(N259-0.0857)/0.01</f>
        <v>-1.1899999999999993</v>
      </c>
      <c r="S259">
        <f t="shared" ref="S259:S289" si="18">(O259-0.0857)/0.01</f>
        <v>-1.2899999999999994</v>
      </c>
      <c r="T259">
        <f t="shared" ref="T259:T289" si="19">(P259-0.0857)/0.01</f>
        <v>0.39000000000000007</v>
      </c>
      <c r="U259">
        <f t="shared" ref="U259:U289" si="20">(Q259-0.0857)/0.01</f>
        <v>0.68</v>
      </c>
    </row>
    <row r="260" spans="1:21" x14ac:dyDescent="0.2">
      <c r="A260" s="1" t="s">
        <v>167</v>
      </c>
      <c r="B260" s="1">
        <v>62</v>
      </c>
      <c r="C260" s="1" t="s">
        <v>89</v>
      </c>
      <c r="D260" s="1">
        <v>3</v>
      </c>
      <c r="E260" s="1">
        <v>7.3559230323880902</v>
      </c>
      <c r="F260" s="1">
        <v>4.2309097703546197</v>
      </c>
      <c r="G260" s="1">
        <v>2.7059117108583402E-3</v>
      </c>
      <c r="H260" s="1">
        <v>102.249141141027</v>
      </c>
      <c r="I260" s="1">
        <v>119.925209647044</v>
      </c>
      <c r="J260" s="1">
        <v>4.09243475738912E-3</v>
      </c>
      <c r="K260" s="2">
        <v>0.19350000000000001</v>
      </c>
      <c r="L260" s="1">
        <v>0.38840000000000002</v>
      </c>
      <c r="M260" s="1">
        <v>0.1784</v>
      </c>
      <c r="N260">
        <v>8.1199999999999994E-2</v>
      </c>
      <c r="O260">
        <v>0.08</v>
      </c>
      <c r="P260">
        <v>0.1013</v>
      </c>
      <c r="Q260">
        <v>8.6199999999999999E-2</v>
      </c>
      <c r="R260">
        <f t="shared" si="17"/>
        <v>-0.4500000000000004</v>
      </c>
      <c r="S260">
        <f t="shared" si="18"/>
        <v>-0.56999999999999962</v>
      </c>
      <c r="T260">
        <f t="shared" si="19"/>
        <v>1.5600000000000003</v>
      </c>
      <c r="U260">
        <f t="shared" si="20"/>
        <v>5.0000000000000044E-2</v>
      </c>
    </row>
    <row r="261" spans="1:21" x14ac:dyDescent="0.2">
      <c r="A261" s="1" t="s">
        <v>167</v>
      </c>
      <c r="B261" s="1">
        <v>62</v>
      </c>
      <c r="C261" s="1" t="s">
        <v>90</v>
      </c>
      <c r="D261" s="1">
        <v>3</v>
      </c>
      <c r="E261" s="1">
        <v>7.3559230323880902</v>
      </c>
      <c r="F261" s="1">
        <v>4.2309097703546197</v>
      </c>
      <c r="G261" s="1">
        <v>2.7059117108583402E-3</v>
      </c>
      <c r="H261" s="1">
        <v>102.249141141027</v>
      </c>
      <c r="I261" s="1">
        <v>119.925209647044</v>
      </c>
      <c r="J261" s="1">
        <v>4.09243475738912E-3</v>
      </c>
      <c r="K261" s="2">
        <v>0.19520000000000001</v>
      </c>
      <c r="L261" s="1">
        <v>0.67579999999999996</v>
      </c>
      <c r="M261" s="1">
        <v>0.19900000000000001</v>
      </c>
      <c r="N261">
        <v>9.3100000000000002E-2</v>
      </c>
      <c r="O261">
        <v>9.1200000000000003E-2</v>
      </c>
      <c r="P261">
        <v>9.9299999999999999E-2</v>
      </c>
      <c r="Q261">
        <v>8.9399999999999993E-2</v>
      </c>
      <c r="R261">
        <f t="shared" si="17"/>
        <v>0.74000000000000032</v>
      </c>
      <c r="S261">
        <f t="shared" si="18"/>
        <v>0.55000000000000049</v>
      </c>
      <c r="T261">
        <f t="shared" si="19"/>
        <v>1.36</v>
      </c>
      <c r="U261">
        <f t="shared" si="20"/>
        <v>0.3699999999999995</v>
      </c>
    </row>
    <row r="262" spans="1:21" x14ac:dyDescent="0.2">
      <c r="A262" s="1" t="s">
        <v>168</v>
      </c>
      <c r="B262" s="1">
        <v>63</v>
      </c>
      <c r="C262" s="1" t="s">
        <v>92</v>
      </c>
      <c r="D262" s="1">
        <v>3</v>
      </c>
      <c r="E262" s="1">
        <v>32.157284346874803</v>
      </c>
      <c r="F262" s="1">
        <v>18.027513572946098</v>
      </c>
      <c r="G262" s="1">
        <v>6.3413257138617299E-2</v>
      </c>
      <c r="H262" s="1">
        <v>15.166614818572899</v>
      </c>
      <c r="I262" s="1">
        <v>42.667803559452203</v>
      </c>
      <c r="J262" s="1">
        <v>3.6612419183365999E-3</v>
      </c>
      <c r="K262" s="2">
        <v>0.26019999999999999</v>
      </c>
      <c r="L262" s="1">
        <v>0.58909999999999996</v>
      </c>
      <c r="M262" s="1">
        <v>0.59670000000000001</v>
      </c>
      <c r="N262">
        <v>6.1800000000000001E-2</v>
      </c>
      <c r="O262">
        <v>6.0199999999999997E-2</v>
      </c>
      <c r="P262">
        <v>6.7400000000000002E-2</v>
      </c>
      <c r="Q262">
        <v>6.1699999999999998E-2</v>
      </c>
      <c r="R262">
        <f t="shared" si="17"/>
        <v>-2.3899999999999997</v>
      </c>
      <c r="S262">
        <f t="shared" si="18"/>
        <v>-2.5500000000000003</v>
      </c>
      <c r="T262">
        <f t="shared" si="19"/>
        <v>-1.8299999999999996</v>
      </c>
      <c r="U262">
        <f t="shared" si="20"/>
        <v>-2.4</v>
      </c>
    </row>
    <row r="263" spans="1:21" x14ac:dyDescent="0.2">
      <c r="A263" s="1" t="s">
        <v>168</v>
      </c>
      <c r="B263" s="1">
        <v>63</v>
      </c>
      <c r="C263" s="1" t="s">
        <v>93</v>
      </c>
      <c r="D263" s="1">
        <v>3</v>
      </c>
      <c r="E263" s="1">
        <v>32.157284346874803</v>
      </c>
      <c r="F263" s="1">
        <v>18.027513572946098</v>
      </c>
      <c r="G263" s="1">
        <v>6.3413257138617299E-2</v>
      </c>
      <c r="H263" s="1">
        <v>15.166614818572899</v>
      </c>
      <c r="I263" s="1">
        <v>42.667803559452203</v>
      </c>
      <c r="J263" s="1">
        <v>3.6612419183365999E-3</v>
      </c>
      <c r="K263" s="2">
        <v>0.24590000000000001</v>
      </c>
      <c r="L263" s="1">
        <v>0.53759999999999997</v>
      </c>
      <c r="M263" s="1">
        <v>0.62680000000000002</v>
      </c>
      <c r="N263">
        <v>6.13E-2</v>
      </c>
      <c r="O263">
        <v>6.6500000000000004E-2</v>
      </c>
      <c r="P263">
        <v>7.4700000000000003E-2</v>
      </c>
      <c r="Q263">
        <v>6.6900000000000001E-2</v>
      </c>
      <c r="R263">
        <f t="shared" si="17"/>
        <v>-2.44</v>
      </c>
      <c r="S263">
        <f t="shared" si="18"/>
        <v>-1.9199999999999995</v>
      </c>
      <c r="T263">
        <f t="shared" si="19"/>
        <v>-1.0999999999999996</v>
      </c>
      <c r="U263">
        <f t="shared" si="20"/>
        <v>-1.8799999999999997</v>
      </c>
    </row>
    <row r="264" spans="1:21" x14ac:dyDescent="0.2">
      <c r="A264" s="1" t="s">
        <v>168</v>
      </c>
      <c r="B264" s="1">
        <v>63</v>
      </c>
      <c r="C264" s="1" t="s">
        <v>94</v>
      </c>
      <c r="D264" s="1">
        <v>3</v>
      </c>
      <c r="E264" s="1">
        <v>32.157284346874803</v>
      </c>
      <c r="F264" s="1">
        <v>18.027513572946098</v>
      </c>
      <c r="G264" s="1">
        <v>6.3413257138617299E-2</v>
      </c>
      <c r="H264" s="1">
        <v>15.166614818572899</v>
      </c>
      <c r="I264" s="1">
        <v>42.667803559452203</v>
      </c>
      <c r="J264" s="1">
        <v>3.6612419183365999E-3</v>
      </c>
      <c r="K264" s="2">
        <v>0.31900000000000001</v>
      </c>
      <c r="L264" s="1">
        <v>0.61760000000000004</v>
      </c>
      <c r="M264" s="1">
        <v>0.25030000000000002</v>
      </c>
      <c r="N264">
        <v>7.0900000000000005E-2</v>
      </c>
      <c r="O264">
        <v>7.51E-2</v>
      </c>
      <c r="P264">
        <v>7.7200000000000005E-2</v>
      </c>
      <c r="Q264">
        <v>7.6700000000000004E-2</v>
      </c>
      <c r="R264">
        <f t="shared" si="17"/>
        <v>-1.4799999999999993</v>
      </c>
      <c r="S264">
        <f t="shared" si="18"/>
        <v>-1.0599999999999998</v>
      </c>
      <c r="T264">
        <f t="shared" si="19"/>
        <v>-0.84999999999999931</v>
      </c>
      <c r="U264">
        <f t="shared" si="20"/>
        <v>-0.89999999999999936</v>
      </c>
    </row>
    <row r="265" spans="1:21" x14ac:dyDescent="0.2">
      <c r="A265" s="1" t="s">
        <v>168</v>
      </c>
      <c r="B265" s="1">
        <v>63</v>
      </c>
      <c r="C265" s="1" t="s">
        <v>95</v>
      </c>
      <c r="D265" s="1">
        <v>3</v>
      </c>
      <c r="E265" s="1">
        <v>32.157284346874803</v>
      </c>
      <c r="F265" s="1">
        <v>18.027513572946098</v>
      </c>
      <c r="G265" s="1">
        <v>6.3413257138617299E-2</v>
      </c>
      <c r="H265" s="1">
        <v>15.166614818572899</v>
      </c>
      <c r="I265" s="1">
        <v>42.667803559452203</v>
      </c>
      <c r="J265" s="1">
        <v>3.6612419183365999E-3</v>
      </c>
      <c r="K265" s="2">
        <v>0.31409999999999999</v>
      </c>
      <c r="L265" s="1">
        <v>0.4229</v>
      </c>
      <c r="M265" s="1">
        <v>0.2104</v>
      </c>
      <c r="N265">
        <v>5.7500000000000002E-2</v>
      </c>
      <c r="O265">
        <v>6.0100000000000001E-2</v>
      </c>
      <c r="P265">
        <v>0.06</v>
      </c>
      <c r="Q265">
        <v>6.3500000000000001E-2</v>
      </c>
      <c r="R265">
        <f t="shared" si="17"/>
        <v>-2.8199999999999994</v>
      </c>
      <c r="S265">
        <f t="shared" si="18"/>
        <v>-2.5599999999999996</v>
      </c>
      <c r="T265">
        <f t="shared" si="19"/>
        <v>-2.57</v>
      </c>
      <c r="U265">
        <f t="shared" si="20"/>
        <v>-2.2199999999999998</v>
      </c>
    </row>
    <row r="266" spans="1:21" x14ac:dyDescent="0.2">
      <c r="A266" s="1" t="s">
        <v>169</v>
      </c>
      <c r="B266" s="1">
        <v>64</v>
      </c>
      <c r="C266" s="1" t="s">
        <v>97</v>
      </c>
      <c r="D266" s="1">
        <v>3</v>
      </c>
      <c r="E266" s="1">
        <v>19.8658963497728</v>
      </c>
      <c r="F266" s="1">
        <v>10.259144272655201</v>
      </c>
      <c r="G266" s="1">
        <v>1.88284068340435E-2</v>
      </c>
      <c r="H266" s="1">
        <v>85.868218082934604</v>
      </c>
      <c r="I266" s="1">
        <v>145.21344252861999</v>
      </c>
      <c r="J266" s="1">
        <v>2.20551500152796E-3</v>
      </c>
      <c r="K266" s="2">
        <v>0.1137</v>
      </c>
      <c r="L266" s="1">
        <v>0.33550000000000002</v>
      </c>
      <c r="M266" s="1">
        <v>0.21920000000000001</v>
      </c>
      <c r="N266">
        <v>5.9499999999999997E-2</v>
      </c>
      <c r="O266">
        <v>6.8599999999999994E-2</v>
      </c>
      <c r="P266">
        <v>7.4399999999999994E-2</v>
      </c>
      <c r="Q266">
        <v>8.7599999999999997E-2</v>
      </c>
      <c r="R266">
        <f t="shared" si="17"/>
        <v>-2.62</v>
      </c>
      <c r="S266">
        <f t="shared" si="18"/>
        <v>-1.7100000000000004</v>
      </c>
      <c r="T266">
        <f t="shared" si="19"/>
        <v>-1.1300000000000003</v>
      </c>
      <c r="U266">
        <f t="shared" si="20"/>
        <v>0.18999999999999989</v>
      </c>
    </row>
    <row r="267" spans="1:21" x14ac:dyDescent="0.2">
      <c r="A267" s="1" t="s">
        <v>169</v>
      </c>
      <c r="B267" s="1">
        <v>64</v>
      </c>
      <c r="C267" s="1" t="s">
        <v>98</v>
      </c>
      <c r="D267" s="1">
        <v>3</v>
      </c>
      <c r="E267" s="1">
        <v>19.8658963497728</v>
      </c>
      <c r="F267" s="1">
        <v>10.259144272655201</v>
      </c>
      <c r="G267" s="1">
        <v>1.88284068340435E-2</v>
      </c>
      <c r="H267" s="1">
        <v>85.868218082934604</v>
      </c>
      <c r="I267" s="1">
        <v>145.21344252861999</v>
      </c>
      <c r="J267" s="1">
        <v>2.20551500152796E-3</v>
      </c>
      <c r="K267" s="2">
        <v>0.55279999999999996</v>
      </c>
      <c r="L267" s="1">
        <v>0.33760000000000001</v>
      </c>
      <c r="M267" s="1">
        <v>0.27350000000000002</v>
      </c>
      <c r="N267">
        <v>6.8400000000000002E-2</v>
      </c>
      <c r="O267">
        <v>7.0599999999999996E-2</v>
      </c>
      <c r="P267">
        <v>9.0999999999999998E-2</v>
      </c>
      <c r="Q267">
        <v>8.4699999999999998E-2</v>
      </c>
      <c r="R267">
        <f t="shared" si="17"/>
        <v>-1.7299999999999995</v>
      </c>
      <c r="S267">
        <f t="shared" si="18"/>
        <v>-1.5100000000000002</v>
      </c>
      <c r="T267">
        <f t="shared" si="19"/>
        <v>0.52999999999999992</v>
      </c>
      <c r="U267">
        <f t="shared" si="20"/>
        <v>-0.10000000000000009</v>
      </c>
    </row>
    <row r="268" spans="1:21" x14ac:dyDescent="0.2">
      <c r="A268" s="1" t="s">
        <v>169</v>
      </c>
      <c r="B268" s="1">
        <v>64</v>
      </c>
      <c r="C268" s="1" t="s">
        <v>99</v>
      </c>
      <c r="D268" s="1">
        <v>3</v>
      </c>
      <c r="E268" s="1">
        <v>19.8658963497728</v>
      </c>
      <c r="F268" s="1">
        <v>10.259144272655201</v>
      </c>
      <c r="G268" s="1">
        <v>1.88284068340435E-2</v>
      </c>
      <c r="H268" s="1">
        <v>85.868218082934604</v>
      </c>
      <c r="I268" s="1">
        <v>145.21344252861999</v>
      </c>
      <c r="J268" s="1">
        <v>2.20551500152796E-3</v>
      </c>
      <c r="K268" s="2">
        <v>0.14180000000000001</v>
      </c>
      <c r="L268" s="1">
        <v>0.35770000000000002</v>
      </c>
      <c r="M268" s="1">
        <v>0.2157</v>
      </c>
      <c r="N268">
        <v>6.9900000000000004E-2</v>
      </c>
      <c r="O268">
        <v>7.0999999999999994E-2</v>
      </c>
      <c r="P268">
        <v>0.10349999999999999</v>
      </c>
      <c r="Q268">
        <v>8.4199999999999997E-2</v>
      </c>
      <c r="R268">
        <f t="shared" si="17"/>
        <v>-1.5799999999999994</v>
      </c>
      <c r="S268">
        <f t="shared" si="18"/>
        <v>-1.4700000000000004</v>
      </c>
      <c r="T268">
        <f t="shared" si="19"/>
        <v>1.7799999999999996</v>
      </c>
      <c r="U268">
        <f t="shared" si="20"/>
        <v>-0.15000000000000013</v>
      </c>
    </row>
    <row r="269" spans="1:21" x14ac:dyDescent="0.2">
      <c r="A269" s="1" t="s">
        <v>169</v>
      </c>
      <c r="B269" s="1">
        <v>64</v>
      </c>
      <c r="C269" s="1" t="s">
        <v>100</v>
      </c>
      <c r="D269" s="1">
        <v>3</v>
      </c>
      <c r="E269" s="1">
        <v>19.8658963497728</v>
      </c>
      <c r="F269" s="1">
        <v>10.259144272655201</v>
      </c>
      <c r="G269" s="1">
        <v>1.88284068340435E-2</v>
      </c>
      <c r="H269" s="1">
        <v>85.868218082934604</v>
      </c>
      <c r="I269" s="1">
        <v>145.21344252861999</v>
      </c>
      <c r="J269" s="1">
        <v>2.20551500152796E-3</v>
      </c>
      <c r="K269" s="2">
        <v>0.1517</v>
      </c>
      <c r="L269" s="1">
        <v>0.39889999999999998</v>
      </c>
      <c r="M269" s="1">
        <v>0.21149999999999999</v>
      </c>
      <c r="N269">
        <v>8.2900000000000001E-2</v>
      </c>
      <c r="O269">
        <v>8.5500000000000007E-2</v>
      </c>
      <c r="P269">
        <v>0.1105</v>
      </c>
      <c r="Q269">
        <v>8.4400000000000003E-2</v>
      </c>
      <c r="R269">
        <f t="shared" si="17"/>
        <v>-0.27999999999999969</v>
      </c>
      <c r="S269">
        <f t="shared" si="18"/>
        <v>-1.9999999999999185E-2</v>
      </c>
      <c r="T269">
        <f t="shared" si="19"/>
        <v>2.4800000000000004</v>
      </c>
      <c r="U269">
        <f t="shared" si="20"/>
        <v>-0.12999999999999956</v>
      </c>
    </row>
    <row r="270" spans="1:21" x14ac:dyDescent="0.2">
      <c r="A270" s="1" t="s">
        <v>170</v>
      </c>
      <c r="B270" s="1">
        <v>65</v>
      </c>
      <c r="C270" s="1" t="s">
        <v>102</v>
      </c>
      <c r="D270" s="1">
        <v>3</v>
      </c>
      <c r="E270" s="1">
        <v>28.830149116925799</v>
      </c>
      <c r="F270" s="1">
        <v>22.619126031175199</v>
      </c>
      <c r="G270" s="1">
        <v>8.5000907959975294E-2</v>
      </c>
      <c r="H270" s="1">
        <v>133.75969476774301</v>
      </c>
      <c r="I270" s="1">
        <v>111.986158210784</v>
      </c>
      <c r="J270" s="1">
        <v>1.1182506489567401E-4</v>
      </c>
      <c r="K270" s="2">
        <v>0.32179999999999997</v>
      </c>
      <c r="L270" s="1">
        <v>0.27560000000000001</v>
      </c>
      <c r="M270" s="1">
        <v>0.1852</v>
      </c>
      <c r="N270">
        <v>7.6100000000000001E-2</v>
      </c>
      <c r="O270">
        <v>8.14E-2</v>
      </c>
      <c r="P270">
        <v>0.57699999999999996</v>
      </c>
      <c r="Q270">
        <v>8.0100000000000005E-2</v>
      </c>
      <c r="R270">
        <f t="shared" si="17"/>
        <v>-0.95999999999999974</v>
      </c>
      <c r="S270">
        <f t="shared" si="18"/>
        <v>-0.42999999999999983</v>
      </c>
      <c r="T270">
        <f t="shared" si="19"/>
        <v>49.129999999999995</v>
      </c>
      <c r="U270">
        <f t="shared" si="20"/>
        <v>-0.55999999999999939</v>
      </c>
    </row>
    <row r="271" spans="1:21" x14ac:dyDescent="0.2">
      <c r="A271" s="1" t="s">
        <v>170</v>
      </c>
      <c r="B271" s="1">
        <v>65</v>
      </c>
      <c r="C271" s="1" t="s">
        <v>103</v>
      </c>
      <c r="D271" s="1">
        <v>3</v>
      </c>
      <c r="E271" s="1">
        <v>28.830149116925799</v>
      </c>
      <c r="F271" s="1">
        <v>22.619126031175199</v>
      </c>
      <c r="G271" s="1">
        <v>8.5000907959975294E-2</v>
      </c>
      <c r="H271" s="1">
        <v>133.75969476774301</v>
      </c>
      <c r="I271" s="1">
        <v>111.986158210784</v>
      </c>
      <c r="J271" s="1">
        <v>1.1182506489567401E-4</v>
      </c>
      <c r="K271" s="2">
        <v>0.1273</v>
      </c>
      <c r="L271" s="1">
        <v>0.20649999999999999</v>
      </c>
      <c r="M271" s="1">
        <v>0.19500000000000001</v>
      </c>
      <c r="N271">
        <v>8.1000000000000003E-2</v>
      </c>
      <c r="O271">
        <v>8.3900000000000002E-2</v>
      </c>
      <c r="P271">
        <v>0.12520000000000001</v>
      </c>
      <c r="Q271">
        <v>8.3699999999999997E-2</v>
      </c>
      <c r="R271">
        <f t="shared" si="17"/>
        <v>-0.46999999999999958</v>
      </c>
      <c r="S271">
        <f t="shared" si="18"/>
        <v>-0.1799999999999996</v>
      </c>
      <c r="T271">
        <f t="shared" si="19"/>
        <v>3.9500000000000006</v>
      </c>
      <c r="U271">
        <f t="shared" si="20"/>
        <v>-0.20000000000000018</v>
      </c>
    </row>
    <row r="272" spans="1:21" x14ac:dyDescent="0.2">
      <c r="A272" s="1" t="s">
        <v>170</v>
      </c>
      <c r="B272" s="1">
        <v>65</v>
      </c>
      <c r="C272" s="1" t="s">
        <v>104</v>
      </c>
      <c r="D272" s="1">
        <v>3</v>
      </c>
      <c r="E272" s="1">
        <v>28.830149116925799</v>
      </c>
      <c r="F272" s="1">
        <v>22.619126031175199</v>
      </c>
      <c r="G272" s="1">
        <v>8.5000907959975294E-2</v>
      </c>
      <c r="H272" s="1">
        <v>133.75969476774301</v>
      </c>
      <c r="I272" s="1">
        <v>111.986158210784</v>
      </c>
      <c r="J272" s="1">
        <v>1.1182506489567401E-4</v>
      </c>
      <c r="K272" s="2">
        <v>0.17299999999999999</v>
      </c>
      <c r="L272" s="1">
        <v>0.25</v>
      </c>
      <c r="M272" s="1">
        <v>0.1915</v>
      </c>
      <c r="N272">
        <v>8.8900000000000007E-2</v>
      </c>
      <c r="O272">
        <v>0.1124</v>
      </c>
      <c r="P272">
        <v>9.6600000000000005E-2</v>
      </c>
      <c r="Q272">
        <v>9.2499999999999999E-2</v>
      </c>
      <c r="R272">
        <f t="shared" si="17"/>
        <v>0.32000000000000084</v>
      </c>
      <c r="S272">
        <f t="shared" si="18"/>
        <v>2.67</v>
      </c>
      <c r="T272">
        <f t="shared" si="19"/>
        <v>1.0900000000000007</v>
      </c>
      <c r="U272">
        <f t="shared" si="20"/>
        <v>0.68</v>
      </c>
    </row>
    <row r="273" spans="1:21" x14ac:dyDescent="0.2">
      <c r="A273" s="1" t="s">
        <v>170</v>
      </c>
      <c r="B273" s="1">
        <v>65</v>
      </c>
      <c r="C273" s="1" t="s">
        <v>105</v>
      </c>
      <c r="D273" s="1">
        <v>3</v>
      </c>
      <c r="E273" s="1">
        <v>28.830149116925799</v>
      </c>
      <c r="F273" s="1">
        <v>22.619126031175199</v>
      </c>
      <c r="G273" s="1">
        <v>8.5000907959975294E-2</v>
      </c>
      <c r="H273" s="1">
        <v>133.75969476774301</v>
      </c>
      <c r="I273" s="1">
        <v>111.986158210784</v>
      </c>
      <c r="J273" s="1">
        <v>1.1182506489567401E-4</v>
      </c>
      <c r="K273" s="2">
        <v>0.11600000000000001</v>
      </c>
      <c r="L273" s="1">
        <v>0.2198</v>
      </c>
      <c r="M273" s="1">
        <v>0.2208</v>
      </c>
      <c r="N273">
        <v>7.6499999999999999E-2</v>
      </c>
      <c r="O273">
        <v>7.9200000000000007E-2</v>
      </c>
      <c r="P273">
        <v>8.1100000000000005E-2</v>
      </c>
      <c r="Q273">
        <v>0.2535</v>
      </c>
      <c r="R273">
        <f t="shared" si="17"/>
        <v>-0.91999999999999993</v>
      </c>
      <c r="S273">
        <f t="shared" si="18"/>
        <v>-0.64999999999999913</v>
      </c>
      <c r="T273">
        <f t="shared" si="19"/>
        <v>-0.4599999999999993</v>
      </c>
      <c r="U273">
        <f t="shared" si="20"/>
        <v>16.78</v>
      </c>
    </row>
    <row r="274" spans="1:21" x14ac:dyDescent="0.2">
      <c r="A274" s="1" t="s">
        <v>171</v>
      </c>
      <c r="B274" s="1">
        <v>66</v>
      </c>
      <c r="C274" s="1" t="s">
        <v>107</v>
      </c>
      <c r="D274" s="1">
        <v>3</v>
      </c>
      <c r="E274" s="1">
        <v>23.529554527252898</v>
      </c>
      <c r="F274" s="1">
        <v>2.2522841617465001</v>
      </c>
      <c r="G274" s="1">
        <v>5.5161624163575396E-2</v>
      </c>
      <c r="H274" s="1">
        <v>122.557504485547</v>
      </c>
      <c r="I274" s="1">
        <v>32.619013390503802</v>
      </c>
      <c r="J274" s="1">
        <v>4.6132452363148307E-3</v>
      </c>
      <c r="K274" s="2">
        <v>0.61439999999999995</v>
      </c>
      <c r="L274" s="1">
        <v>0.29310000000000003</v>
      </c>
      <c r="M274" s="1">
        <v>0.25969999999999999</v>
      </c>
      <c r="N274">
        <v>7.1300000000000002E-2</v>
      </c>
      <c r="O274">
        <v>8.2600000000000007E-2</v>
      </c>
      <c r="P274">
        <v>8.4900000000000003E-2</v>
      </c>
      <c r="Q274">
        <v>8.9399999999999993E-2</v>
      </c>
      <c r="R274">
        <f t="shared" si="17"/>
        <v>-1.4399999999999995</v>
      </c>
      <c r="S274">
        <f t="shared" si="18"/>
        <v>-0.30999999999999917</v>
      </c>
      <c r="T274">
        <f t="shared" si="19"/>
        <v>-7.9999999999999516E-2</v>
      </c>
      <c r="U274">
        <f t="shared" si="20"/>
        <v>0.3699999999999995</v>
      </c>
    </row>
    <row r="275" spans="1:21" x14ac:dyDescent="0.2">
      <c r="A275" s="1" t="s">
        <v>171</v>
      </c>
      <c r="B275" s="1">
        <v>66</v>
      </c>
      <c r="C275" s="1" t="s">
        <v>108</v>
      </c>
      <c r="D275" s="1">
        <v>3</v>
      </c>
      <c r="E275" s="1">
        <v>23.529554527252898</v>
      </c>
      <c r="F275" s="1">
        <v>2.2522841617465001</v>
      </c>
      <c r="G275" s="1">
        <v>5.5161624163575396E-2</v>
      </c>
      <c r="H275" s="1">
        <v>122.557504485547</v>
      </c>
      <c r="I275" s="1">
        <v>32.619013390503802</v>
      </c>
      <c r="J275" s="1">
        <v>4.6132452363148307E-3</v>
      </c>
      <c r="K275" s="2">
        <v>0.1414</v>
      </c>
      <c r="L275" s="1">
        <v>0.36630000000000001</v>
      </c>
      <c r="M275" s="1">
        <v>0.2041</v>
      </c>
      <c r="N275">
        <v>7.0000000000000007E-2</v>
      </c>
      <c r="O275">
        <v>0.24149999999999999</v>
      </c>
      <c r="P275">
        <v>8.6599999999999996E-2</v>
      </c>
      <c r="Q275">
        <v>8.9399999999999993E-2</v>
      </c>
      <c r="R275">
        <f t="shared" si="17"/>
        <v>-1.5699999999999992</v>
      </c>
      <c r="S275">
        <f t="shared" si="18"/>
        <v>15.579999999999998</v>
      </c>
      <c r="T275">
        <f t="shared" si="19"/>
        <v>8.9999999999999802E-2</v>
      </c>
      <c r="U275">
        <f t="shared" si="20"/>
        <v>0.3699999999999995</v>
      </c>
    </row>
    <row r="276" spans="1:21" x14ac:dyDescent="0.2">
      <c r="A276" s="1" t="s">
        <v>171</v>
      </c>
      <c r="B276" s="1">
        <v>66</v>
      </c>
      <c r="C276" s="1" t="s">
        <v>109</v>
      </c>
      <c r="D276" s="1">
        <v>3</v>
      </c>
      <c r="E276" s="1">
        <v>23.529554527252898</v>
      </c>
      <c r="F276" s="1">
        <v>2.2522841617465001</v>
      </c>
      <c r="G276" s="1">
        <v>5.5161624163575396E-2</v>
      </c>
      <c r="H276" s="1">
        <v>122.557504485547</v>
      </c>
      <c r="I276" s="1">
        <v>32.619013390503802</v>
      </c>
      <c r="J276" s="1">
        <v>4.6132452363148307E-3</v>
      </c>
      <c r="K276" s="2">
        <v>0.10630000000000001</v>
      </c>
      <c r="L276" s="1">
        <v>0.28270000000000001</v>
      </c>
      <c r="M276" s="1">
        <v>0.2586</v>
      </c>
      <c r="N276">
        <v>7.2400000000000006E-2</v>
      </c>
      <c r="O276">
        <v>8.8400000000000006E-2</v>
      </c>
      <c r="P276">
        <v>8.7599999999999997E-2</v>
      </c>
      <c r="Q276">
        <v>9.06E-2</v>
      </c>
      <c r="R276">
        <f t="shared" si="17"/>
        <v>-1.3299999999999992</v>
      </c>
      <c r="S276">
        <f t="shared" si="18"/>
        <v>0.27000000000000079</v>
      </c>
      <c r="T276">
        <f t="shared" si="19"/>
        <v>0.18999999999999989</v>
      </c>
      <c r="U276">
        <f t="shared" si="20"/>
        <v>0.49000000000000016</v>
      </c>
    </row>
    <row r="277" spans="1:21" x14ac:dyDescent="0.2">
      <c r="A277" s="1" t="s">
        <v>171</v>
      </c>
      <c r="B277" s="1">
        <v>66</v>
      </c>
      <c r="C277" s="1" t="s">
        <v>110</v>
      </c>
      <c r="D277" s="1">
        <v>3</v>
      </c>
      <c r="E277" s="1">
        <v>23.529554527252898</v>
      </c>
      <c r="F277" s="1">
        <v>2.2522841617465001</v>
      </c>
      <c r="G277" s="1">
        <v>5.5161624163575396E-2</v>
      </c>
      <c r="H277" s="1">
        <v>122.557504485547</v>
      </c>
      <c r="I277" s="1">
        <v>32.619013390503802</v>
      </c>
      <c r="J277" s="1">
        <v>4.6132452363148307E-3</v>
      </c>
      <c r="K277" s="2">
        <v>0.13109999999999999</v>
      </c>
      <c r="L277" s="1">
        <v>0.3306</v>
      </c>
      <c r="M277" s="1">
        <v>0.30059999999999998</v>
      </c>
      <c r="N277">
        <v>8.1100000000000005E-2</v>
      </c>
      <c r="O277">
        <v>8.8999999999999996E-2</v>
      </c>
      <c r="P277">
        <v>8.9599999999999999E-2</v>
      </c>
      <c r="Q277">
        <v>9.0499999999999997E-2</v>
      </c>
      <c r="R277">
        <f t="shared" si="17"/>
        <v>-0.4599999999999993</v>
      </c>
      <c r="S277">
        <f t="shared" si="18"/>
        <v>0.32999999999999974</v>
      </c>
      <c r="T277">
        <f t="shared" si="19"/>
        <v>0.39000000000000007</v>
      </c>
      <c r="U277">
        <f t="shared" si="20"/>
        <v>0.47999999999999987</v>
      </c>
    </row>
    <row r="278" spans="1:21" x14ac:dyDescent="0.2">
      <c r="A278" s="1" t="s">
        <v>172</v>
      </c>
      <c r="B278" s="1">
        <v>67</v>
      </c>
      <c r="C278" s="1" t="s">
        <v>112</v>
      </c>
      <c r="D278" s="1">
        <v>3</v>
      </c>
      <c r="E278" s="1">
        <v>13.492973861750199</v>
      </c>
      <c r="F278" s="1">
        <v>28.980736893601701</v>
      </c>
      <c r="G278" s="1">
        <v>6.1921070287376603E-2</v>
      </c>
      <c r="H278" s="1">
        <v>52.232785188406702</v>
      </c>
      <c r="I278" s="1">
        <v>143.20291908457801</v>
      </c>
      <c r="J278" s="1">
        <v>2.0569009845610698E-3</v>
      </c>
      <c r="K278" s="2">
        <v>0.22209999999999999</v>
      </c>
      <c r="L278" s="1">
        <v>0.61599999999999999</v>
      </c>
      <c r="M278" s="1">
        <v>0.13589999999999999</v>
      </c>
      <c r="N278">
        <v>7.3499999999999996E-2</v>
      </c>
      <c r="O278">
        <v>7.5200000000000003E-2</v>
      </c>
      <c r="P278">
        <v>8.4199999999999997E-2</v>
      </c>
      <c r="Q278">
        <v>8.2500000000000004E-2</v>
      </c>
      <c r="R278">
        <f t="shared" si="17"/>
        <v>-1.2200000000000002</v>
      </c>
      <c r="S278">
        <f t="shared" si="18"/>
        <v>-1.0499999999999996</v>
      </c>
      <c r="T278">
        <f t="shared" si="19"/>
        <v>-0.15000000000000013</v>
      </c>
      <c r="U278">
        <f t="shared" si="20"/>
        <v>-0.31999999999999945</v>
      </c>
    </row>
    <row r="279" spans="1:21" x14ac:dyDescent="0.2">
      <c r="A279" s="1" t="s">
        <v>172</v>
      </c>
      <c r="B279" s="1">
        <v>67</v>
      </c>
      <c r="C279" s="1" t="s">
        <v>113</v>
      </c>
      <c r="D279" s="1">
        <v>3</v>
      </c>
      <c r="E279" s="1">
        <v>13.492973861750199</v>
      </c>
      <c r="F279" s="1">
        <v>28.980736893601701</v>
      </c>
      <c r="G279" s="1">
        <v>6.1921070287376603E-2</v>
      </c>
      <c r="H279" s="1">
        <v>52.232785188406702</v>
      </c>
      <c r="I279" s="1">
        <v>143.20291908457801</v>
      </c>
      <c r="J279" s="1">
        <v>2.0569009845610698E-3</v>
      </c>
      <c r="K279" s="2">
        <v>0.15840000000000001</v>
      </c>
      <c r="L279" s="1">
        <v>0.43430000000000002</v>
      </c>
      <c r="M279" s="1">
        <v>0.1391</v>
      </c>
      <c r="N279">
        <v>6.7799999999999999E-2</v>
      </c>
      <c r="O279">
        <v>7.3099999999999998E-2</v>
      </c>
      <c r="P279">
        <v>0.36580000000000001</v>
      </c>
      <c r="Q279">
        <v>8.4400000000000003E-2</v>
      </c>
      <c r="R279">
        <f t="shared" si="17"/>
        <v>-1.7899999999999998</v>
      </c>
      <c r="S279">
        <f t="shared" si="18"/>
        <v>-1.26</v>
      </c>
      <c r="T279">
        <f t="shared" si="19"/>
        <v>28.01</v>
      </c>
      <c r="U279">
        <f t="shared" si="20"/>
        <v>-0.12999999999999956</v>
      </c>
    </row>
    <row r="280" spans="1:21" x14ac:dyDescent="0.2">
      <c r="A280" s="1" t="s">
        <v>172</v>
      </c>
      <c r="B280" s="1">
        <v>67</v>
      </c>
      <c r="C280" s="1" t="s">
        <v>114</v>
      </c>
      <c r="D280" s="1">
        <v>3</v>
      </c>
      <c r="E280" s="1">
        <v>13.492973861750199</v>
      </c>
      <c r="F280" s="1">
        <v>28.980736893601701</v>
      </c>
      <c r="G280" s="1">
        <v>6.1921070287376603E-2</v>
      </c>
      <c r="H280" s="1">
        <v>52.232785188406702</v>
      </c>
      <c r="I280" s="1">
        <v>143.20291908457801</v>
      </c>
      <c r="J280" s="1">
        <v>2.0569009845610698E-3</v>
      </c>
      <c r="K280" s="2">
        <v>0.1603</v>
      </c>
      <c r="L280" s="1">
        <v>0.3261</v>
      </c>
      <c r="M280" s="1">
        <v>0.14319999999999999</v>
      </c>
      <c r="N280">
        <v>7.9100000000000004E-2</v>
      </c>
      <c r="O280">
        <v>8.2299999999999998E-2</v>
      </c>
      <c r="P280">
        <v>8.6999999999999994E-2</v>
      </c>
      <c r="Q280">
        <v>9.69E-2</v>
      </c>
      <c r="R280">
        <f t="shared" si="17"/>
        <v>-0.65999999999999948</v>
      </c>
      <c r="S280">
        <f t="shared" si="18"/>
        <v>-0.34</v>
      </c>
      <c r="T280">
        <f t="shared" si="19"/>
        <v>0.12999999999999956</v>
      </c>
      <c r="U280">
        <f t="shared" si="20"/>
        <v>1.1200000000000001</v>
      </c>
    </row>
    <row r="281" spans="1:21" x14ac:dyDescent="0.2">
      <c r="A281" s="1" t="s">
        <v>172</v>
      </c>
      <c r="B281" s="1">
        <v>67</v>
      </c>
      <c r="C281" s="1" t="s">
        <v>115</v>
      </c>
      <c r="D281" s="1">
        <v>3</v>
      </c>
      <c r="E281" s="1">
        <v>13.492973861750199</v>
      </c>
      <c r="F281" s="1">
        <v>28.980736893601701</v>
      </c>
      <c r="G281" s="1">
        <v>6.1921070287376603E-2</v>
      </c>
      <c r="H281" s="1">
        <v>52.232785188406702</v>
      </c>
      <c r="I281" s="1">
        <v>143.20291908457801</v>
      </c>
      <c r="J281" s="1">
        <v>2.0569009845610698E-3</v>
      </c>
      <c r="K281" s="2">
        <v>0.1419</v>
      </c>
      <c r="L281" s="1">
        <v>0.26629999999999998</v>
      </c>
      <c r="M281" s="1">
        <v>0.15329999999999999</v>
      </c>
      <c r="N281">
        <v>6.8199999999999997E-2</v>
      </c>
      <c r="O281">
        <v>6.6600000000000006E-2</v>
      </c>
      <c r="P281">
        <v>7.0900000000000005E-2</v>
      </c>
      <c r="Q281">
        <v>8.5500000000000007E-2</v>
      </c>
      <c r="R281">
        <f t="shared" si="17"/>
        <v>-1.7500000000000002</v>
      </c>
      <c r="S281">
        <f t="shared" si="18"/>
        <v>-1.9099999999999993</v>
      </c>
      <c r="T281">
        <f t="shared" si="19"/>
        <v>-1.4799999999999993</v>
      </c>
      <c r="U281">
        <f t="shared" si="20"/>
        <v>-1.9999999999999185E-2</v>
      </c>
    </row>
    <row r="282" spans="1:21" x14ac:dyDescent="0.2">
      <c r="A282" s="1" t="s">
        <v>173</v>
      </c>
      <c r="B282" s="1">
        <v>68</v>
      </c>
      <c r="C282" s="1" t="s">
        <v>117</v>
      </c>
      <c r="D282" s="1">
        <v>3</v>
      </c>
      <c r="E282" s="1">
        <v>42.0679512666538</v>
      </c>
      <c r="F282" s="1">
        <v>12.792507316917099</v>
      </c>
      <c r="G282" s="1">
        <v>7.9746014408208402E-2</v>
      </c>
      <c r="H282" s="1">
        <v>111.026779373735</v>
      </c>
      <c r="I282" s="1">
        <v>147.23879980389</v>
      </c>
      <c r="J282" s="1">
        <v>4.2490376027300896E-3</v>
      </c>
      <c r="K282" s="2">
        <v>0.1021</v>
      </c>
      <c r="L282" s="1">
        <v>0.192</v>
      </c>
      <c r="M282" s="1">
        <v>0.39700000000000002</v>
      </c>
      <c r="N282">
        <v>6.5199999999999994E-2</v>
      </c>
      <c r="O282">
        <v>8.7400000000000005E-2</v>
      </c>
      <c r="P282">
        <v>8.6499999999999994E-2</v>
      </c>
      <c r="Q282">
        <v>8.43E-2</v>
      </c>
      <c r="R282">
        <f t="shared" si="17"/>
        <v>-2.0500000000000003</v>
      </c>
      <c r="S282">
        <f t="shared" si="18"/>
        <v>0.17000000000000071</v>
      </c>
      <c r="T282">
        <f t="shared" si="19"/>
        <v>7.9999999999999516E-2</v>
      </c>
      <c r="U282">
        <f t="shared" si="20"/>
        <v>-0.13999999999999985</v>
      </c>
    </row>
    <row r="283" spans="1:21" x14ac:dyDescent="0.2">
      <c r="A283" s="1" t="s">
        <v>173</v>
      </c>
      <c r="B283" s="1">
        <v>68</v>
      </c>
      <c r="C283" s="1" t="s">
        <v>118</v>
      </c>
      <c r="D283" s="1">
        <v>3</v>
      </c>
      <c r="E283" s="1">
        <v>42.0679512666538</v>
      </c>
      <c r="F283" s="1">
        <v>12.792507316917099</v>
      </c>
      <c r="G283" s="1">
        <v>7.9746014408208402E-2</v>
      </c>
      <c r="H283" s="1">
        <v>111.026779373735</v>
      </c>
      <c r="I283" s="1">
        <v>147.23879980389</v>
      </c>
      <c r="J283" s="1">
        <v>4.2490376027300896E-3</v>
      </c>
      <c r="K283" s="2">
        <v>9.1600000000000001E-2</v>
      </c>
      <c r="L283" s="1">
        <v>0.18340000000000001</v>
      </c>
      <c r="M283" s="1">
        <v>0.39639999999999997</v>
      </c>
      <c r="N283">
        <v>6.7299999999999999E-2</v>
      </c>
      <c r="O283">
        <v>7.8100000000000003E-2</v>
      </c>
      <c r="P283">
        <v>0.26819999999999999</v>
      </c>
      <c r="Q283">
        <v>8.1900000000000001E-2</v>
      </c>
      <c r="R283">
        <f t="shared" si="17"/>
        <v>-1.8399999999999999</v>
      </c>
      <c r="S283">
        <f t="shared" si="18"/>
        <v>-0.75999999999999956</v>
      </c>
      <c r="T283">
        <f t="shared" si="19"/>
        <v>18.25</v>
      </c>
      <c r="U283">
        <f t="shared" si="20"/>
        <v>-0.37999999999999978</v>
      </c>
    </row>
    <row r="284" spans="1:21" x14ac:dyDescent="0.2">
      <c r="A284" s="1" t="s">
        <v>173</v>
      </c>
      <c r="B284" s="1">
        <v>68</v>
      </c>
      <c r="C284" s="1" t="s">
        <v>119</v>
      </c>
      <c r="D284" s="1">
        <v>3</v>
      </c>
      <c r="E284" s="1">
        <v>42.0679512666538</v>
      </c>
      <c r="F284" s="1">
        <v>12.792507316917099</v>
      </c>
      <c r="G284" s="1">
        <v>7.9746014408208402E-2</v>
      </c>
      <c r="H284" s="1">
        <v>111.026779373735</v>
      </c>
      <c r="I284" s="1">
        <v>147.23879980389</v>
      </c>
      <c r="J284" s="1">
        <v>4.2490376027300896E-3</v>
      </c>
      <c r="K284" s="2">
        <v>0.1371</v>
      </c>
      <c r="L284" s="1">
        <v>0.2215</v>
      </c>
      <c r="M284" s="1">
        <v>0.4163</v>
      </c>
      <c r="N284">
        <v>7.5800000000000006E-2</v>
      </c>
      <c r="O284">
        <v>8.6800000000000002E-2</v>
      </c>
      <c r="P284">
        <v>0.18529999999999999</v>
      </c>
      <c r="Q284">
        <v>8.1299999999999997E-2</v>
      </c>
      <c r="R284">
        <f t="shared" si="17"/>
        <v>-0.98999999999999921</v>
      </c>
      <c r="S284">
        <f t="shared" si="18"/>
        <v>0.11000000000000038</v>
      </c>
      <c r="T284">
        <f t="shared" si="19"/>
        <v>9.9599999999999991</v>
      </c>
      <c r="U284">
        <f t="shared" si="20"/>
        <v>-0.44000000000000011</v>
      </c>
    </row>
    <row r="285" spans="1:21" x14ac:dyDescent="0.2">
      <c r="A285" s="1" t="s">
        <v>173</v>
      </c>
      <c r="B285" s="1">
        <v>68</v>
      </c>
      <c r="C285" s="1" t="s">
        <v>120</v>
      </c>
      <c r="D285" s="1">
        <v>3</v>
      </c>
      <c r="E285" s="1">
        <v>42.0679512666538</v>
      </c>
      <c r="F285" s="1">
        <v>12.792507316917099</v>
      </c>
      <c r="G285" s="1">
        <v>7.9746014408208402E-2</v>
      </c>
      <c r="H285" s="1">
        <v>111.026779373735</v>
      </c>
      <c r="I285" s="1">
        <v>147.23879980389</v>
      </c>
      <c r="J285" s="1">
        <v>4.2490376027300896E-3</v>
      </c>
      <c r="K285" s="2">
        <v>0.1099</v>
      </c>
      <c r="L285" s="1">
        <v>0.21790000000000001</v>
      </c>
      <c r="M285" s="1">
        <v>0.44140000000000001</v>
      </c>
      <c r="N285">
        <v>7.9200000000000007E-2</v>
      </c>
      <c r="O285">
        <v>9.7299999999999998E-2</v>
      </c>
      <c r="P285">
        <v>9.1399999999999995E-2</v>
      </c>
      <c r="Q285">
        <v>8.5699999999999998E-2</v>
      </c>
      <c r="R285">
        <f t="shared" si="17"/>
        <v>-0.64999999999999913</v>
      </c>
      <c r="S285">
        <f t="shared" si="18"/>
        <v>1.1599999999999999</v>
      </c>
      <c r="T285">
        <f t="shared" si="19"/>
        <v>0.56999999999999962</v>
      </c>
      <c r="U285">
        <f t="shared" si="20"/>
        <v>0</v>
      </c>
    </row>
    <row r="286" spans="1:21" x14ac:dyDescent="0.2">
      <c r="A286" s="1" t="s">
        <v>174</v>
      </c>
      <c r="B286" s="1">
        <v>69</v>
      </c>
      <c r="C286" s="1" t="s">
        <v>122</v>
      </c>
      <c r="D286" s="1">
        <v>3</v>
      </c>
      <c r="E286" s="1">
        <v>41.508473412133696</v>
      </c>
      <c r="F286" s="1">
        <v>42.037968767806802</v>
      </c>
      <c r="G286" s="1">
        <v>8.6132179293222699E-2</v>
      </c>
      <c r="H286" s="1">
        <v>3.4660406194627198</v>
      </c>
      <c r="I286" s="1">
        <v>100.56149565149001</v>
      </c>
      <c r="J286" s="1">
        <v>4.9755465786904098E-3</v>
      </c>
      <c r="K286" s="2">
        <v>0.1782</v>
      </c>
      <c r="L286" s="1">
        <v>0.19009999999999999</v>
      </c>
      <c r="M286" s="1">
        <v>0.27089999999999997</v>
      </c>
      <c r="N286">
        <v>6.4399999999999999E-2</v>
      </c>
      <c r="O286">
        <v>6.2899999999999998E-2</v>
      </c>
      <c r="P286">
        <v>6.5699999999999995E-2</v>
      </c>
      <c r="Q286">
        <v>6.3500000000000001E-2</v>
      </c>
      <c r="R286">
        <f t="shared" si="17"/>
        <v>-2.13</v>
      </c>
      <c r="S286">
        <f t="shared" si="18"/>
        <v>-2.2800000000000002</v>
      </c>
      <c r="T286">
        <f t="shared" si="19"/>
        <v>-2.0000000000000004</v>
      </c>
      <c r="U286">
        <f t="shared" si="20"/>
        <v>-2.2199999999999998</v>
      </c>
    </row>
    <row r="287" spans="1:21" x14ac:dyDescent="0.2">
      <c r="A287" s="1" t="s">
        <v>174</v>
      </c>
      <c r="B287" s="1">
        <v>69</v>
      </c>
      <c r="C287" s="1" t="s">
        <v>123</v>
      </c>
      <c r="D287" s="1">
        <v>3</v>
      </c>
      <c r="E287" s="1">
        <v>41.508473412133696</v>
      </c>
      <c r="F287" s="1">
        <v>42.037968767806802</v>
      </c>
      <c r="G287" s="1">
        <v>8.6132179293222699E-2</v>
      </c>
      <c r="H287" s="1">
        <v>3.4660406194627198</v>
      </c>
      <c r="I287" s="1">
        <v>100.56149565149001</v>
      </c>
      <c r="J287" s="1">
        <v>4.9755465786904098E-3</v>
      </c>
      <c r="K287" s="2">
        <v>0.188</v>
      </c>
      <c r="L287" s="1">
        <v>0.36909999999999998</v>
      </c>
      <c r="M287" s="1">
        <v>0.27789999999999998</v>
      </c>
      <c r="N287">
        <v>6.5000000000000002E-2</v>
      </c>
      <c r="O287">
        <v>8.1600000000000006E-2</v>
      </c>
      <c r="P287">
        <v>7.9699999999999993E-2</v>
      </c>
      <c r="Q287">
        <v>6.5500000000000003E-2</v>
      </c>
      <c r="R287">
        <f t="shared" si="17"/>
        <v>-2.0699999999999994</v>
      </c>
      <c r="S287">
        <f t="shared" si="18"/>
        <v>-0.40999999999999925</v>
      </c>
      <c r="T287">
        <f t="shared" si="19"/>
        <v>-0.60000000000000053</v>
      </c>
      <c r="U287">
        <f t="shared" si="20"/>
        <v>-2.0199999999999996</v>
      </c>
    </row>
    <row r="288" spans="1:21" x14ac:dyDescent="0.2">
      <c r="A288" s="1" t="s">
        <v>174</v>
      </c>
      <c r="B288" s="1">
        <v>69</v>
      </c>
      <c r="C288" s="1" t="s">
        <v>124</v>
      </c>
      <c r="D288" s="1">
        <v>3</v>
      </c>
      <c r="E288" s="1">
        <v>41.508473412133696</v>
      </c>
      <c r="F288" s="1">
        <v>42.037968767806802</v>
      </c>
      <c r="G288" s="1">
        <v>8.6132179293222699E-2</v>
      </c>
      <c r="H288" s="1">
        <v>3.4660406194627198</v>
      </c>
      <c r="I288" s="1">
        <v>100.56149565149001</v>
      </c>
      <c r="J288" s="1">
        <v>4.9755465786904098E-3</v>
      </c>
      <c r="K288" s="2">
        <v>0.16639999999999999</v>
      </c>
      <c r="L288" s="1">
        <v>0.24479999999999999</v>
      </c>
      <c r="M288" s="1">
        <v>0.3221</v>
      </c>
      <c r="N288">
        <v>6.9199999999999998E-2</v>
      </c>
      <c r="O288">
        <v>7.2999999999999995E-2</v>
      </c>
      <c r="P288">
        <v>7.6200000000000004E-2</v>
      </c>
      <c r="Q288">
        <v>6.7000000000000004E-2</v>
      </c>
      <c r="R288">
        <f t="shared" si="17"/>
        <v>-1.6500000000000001</v>
      </c>
      <c r="S288">
        <f t="shared" si="18"/>
        <v>-1.2700000000000002</v>
      </c>
      <c r="T288">
        <f t="shared" si="19"/>
        <v>-0.9499999999999994</v>
      </c>
      <c r="U288">
        <f t="shared" si="20"/>
        <v>-1.8699999999999994</v>
      </c>
    </row>
    <row r="289" spans="1:21" x14ac:dyDescent="0.2">
      <c r="A289" s="1" t="s">
        <v>174</v>
      </c>
      <c r="B289" s="1">
        <v>69</v>
      </c>
      <c r="C289" s="3" t="s">
        <v>125</v>
      </c>
      <c r="D289" s="1">
        <v>3</v>
      </c>
      <c r="E289" s="1">
        <v>41.508473412133696</v>
      </c>
      <c r="F289" s="1">
        <v>42.037968767806802</v>
      </c>
      <c r="G289" s="1">
        <v>8.6132179293222699E-2</v>
      </c>
      <c r="H289" s="1">
        <v>3.4660406194627198</v>
      </c>
      <c r="I289" s="1">
        <v>100.56149565149001</v>
      </c>
      <c r="J289" s="1">
        <v>4.9755465786904098E-3</v>
      </c>
      <c r="K289" s="2">
        <v>0.2954</v>
      </c>
      <c r="L289" s="1">
        <v>0.36309999999999998</v>
      </c>
      <c r="M289" s="1">
        <v>0.3211</v>
      </c>
      <c r="N289">
        <v>6.5100000000000005E-2</v>
      </c>
      <c r="O289">
        <v>7.8299999999999995E-2</v>
      </c>
      <c r="P289">
        <v>0.78100000000000003</v>
      </c>
      <c r="Q289">
        <v>6.5799999999999997E-2</v>
      </c>
      <c r="R289">
        <f t="shared" si="17"/>
        <v>-2.0599999999999992</v>
      </c>
      <c r="S289">
        <f t="shared" si="18"/>
        <v>-0.74000000000000032</v>
      </c>
      <c r="T289">
        <f t="shared" si="19"/>
        <v>69.53</v>
      </c>
      <c r="U289">
        <f t="shared" si="20"/>
        <v>-1.99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2013-545B-7649-8FF8-0E21B75C2C5B}">
  <dimension ref="A1:M289"/>
  <sheetViews>
    <sheetView workbookViewId="0">
      <selection sqref="A1:M1048576"/>
    </sheetView>
  </sheetViews>
  <sheetFormatPr baseColWidth="10" defaultRowHeight="16" x14ac:dyDescent="0.2"/>
  <cols>
    <col min="1" max="1" width="9.1640625" customWidth="1"/>
    <col min="2" max="2" width="5.5" customWidth="1"/>
    <col min="3" max="3" width="4.83203125" customWidth="1"/>
    <col min="4" max="4" width="3.33203125" customWidth="1"/>
    <col min="5" max="5" width="5.6640625" customWidth="1"/>
    <col min="6" max="6" width="5.33203125" customWidth="1"/>
    <col min="7" max="7" width="5.1640625" customWidth="1"/>
    <col min="8" max="8" width="2.6640625" customWidth="1"/>
    <col min="9" max="9" width="5.5" customWidth="1"/>
    <col min="10" max="10" width="6.5" customWidth="1"/>
    <col min="11" max="12" width="8.83203125" customWidth="1"/>
    <col min="13" max="13" width="1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1" t="s">
        <v>127</v>
      </c>
      <c r="H1" s="1" t="s">
        <v>5</v>
      </c>
      <c r="I1" s="1" t="s">
        <v>6</v>
      </c>
      <c r="J1" s="1" t="s">
        <v>128</v>
      </c>
      <c r="K1" s="1" t="s">
        <v>175</v>
      </c>
      <c r="L1" s="1" t="s">
        <v>176</v>
      </c>
      <c r="M1" s="1" t="s">
        <v>177</v>
      </c>
    </row>
    <row r="2" spans="1:13" x14ac:dyDescent="0.2">
      <c r="A2" s="1" t="s">
        <v>178</v>
      </c>
      <c r="B2" s="1">
        <v>0</v>
      </c>
      <c r="C2" s="1" t="s">
        <v>7</v>
      </c>
      <c r="D2" s="1">
        <v>1</v>
      </c>
      <c r="E2" s="1">
        <v>25</v>
      </c>
      <c r="F2" s="1">
        <v>50</v>
      </c>
      <c r="G2" s="1">
        <v>1E-3</v>
      </c>
      <c r="H2" s="1">
        <v>15</v>
      </c>
      <c r="I2" s="1">
        <v>125</v>
      </c>
      <c r="J2" s="1">
        <v>1E-3</v>
      </c>
      <c r="K2" s="2">
        <v>0.27810000000000001</v>
      </c>
      <c r="L2" s="1">
        <v>0.127</v>
      </c>
      <c r="M2" s="1">
        <v>0.32869999999999999</v>
      </c>
    </row>
    <row r="3" spans="1:13" x14ac:dyDescent="0.2">
      <c r="A3" s="1" t="s">
        <v>178</v>
      </c>
      <c r="B3" s="1">
        <v>0</v>
      </c>
      <c r="C3" s="1" t="s">
        <v>8</v>
      </c>
      <c r="D3" s="1">
        <v>1</v>
      </c>
      <c r="E3" s="1">
        <v>25</v>
      </c>
      <c r="F3" s="1">
        <v>50</v>
      </c>
      <c r="G3" s="1">
        <v>1E-3</v>
      </c>
      <c r="H3" s="1">
        <v>15</v>
      </c>
      <c r="I3" s="1">
        <v>125</v>
      </c>
      <c r="J3" s="1">
        <v>1E-3</v>
      </c>
      <c r="K3" s="2">
        <v>0.25790000000000002</v>
      </c>
      <c r="L3" s="1">
        <v>0.13500000000000001</v>
      </c>
      <c r="M3" s="1">
        <v>0.157</v>
      </c>
    </row>
    <row r="4" spans="1:13" x14ac:dyDescent="0.2">
      <c r="A4" s="1" t="s">
        <v>178</v>
      </c>
      <c r="B4" s="1">
        <v>0</v>
      </c>
      <c r="C4" s="1" t="s">
        <v>9</v>
      </c>
      <c r="D4" s="1">
        <v>1</v>
      </c>
      <c r="E4" s="1">
        <v>25</v>
      </c>
      <c r="F4" s="1">
        <v>50</v>
      </c>
      <c r="G4" s="1">
        <v>1E-3</v>
      </c>
      <c r="H4" s="1">
        <v>15</v>
      </c>
      <c r="I4" s="1">
        <v>125</v>
      </c>
      <c r="J4" s="1">
        <v>1E-3</v>
      </c>
      <c r="K4" s="2">
        <v>0.1426</v>
      </c>
      <c r="L4" s="1">
        <v>0.12540000000000001</v>
      </c>
      <c r="M4" s="1">
        <v>0.48549999999999999</v>
      </c>
    </row>
    <row r="5" spans="1:13" x14ac:dyDescent="0.2">
      <c r="A5" s="1" t="s">
        <v>178</v>
      </c>
      <c r="B5" s="1">
        <v>0</v>
      </c>
      <c r="C5" s="1" t="s">
        <v>10</v>
      </c>
      <c r="D5" s="1">
        <v>1</v>
      </c>
      <c r="E5" s="1">
        <v>25</v>
      </c>
      <c r="F5" s="1">
        <v>50</v>
      </c>
      <c r="G5" s="1">
        <v>1E-3</v>
      </c>
      <c r="H5" s="1">
        <v>15</v>
      </c>
      <c r="I5" s="1">
        <v>125</v>
      </c>
      <c r="J5" s="1">
        <v>1E-3</v>
      </c>
      <c r="K5" s="2">
        <v>0.1447</v>
      </c>
      <c r="L5" s="1">
        <v>0.13539999999999999</v>
      </c>
      <c r="M5" s="1">
        <v>0.66120000000000001</v>
      </c>
    </row>
    <row r="6" spans="1:13" x14ac:dyDescent="0.2">
      <c r="A6" s="1" t="s">
        <v>11</v>
      </c>
      <c r="B6" s="1">
        <v>1</v>
      </c>
      <c r="C6" s="1" t="s">
        <v>12</v>
      </c>
      <c r="D6" s="1">
        <v>1</v>
      </c>
      <c r="E6" s="1">
        <v>39.385477090254398</v>
      </c>
      <c r="F6" s="1">
        <v>98.820672409608903</v>
      </c>
      <c r="G6" s="1">
        <v>9.86728995461017E-3</v>
      </c>
      <c r="H6" s="1">
        <v>82.400969709455893</v>
      </c>
      <c r="I6" s="1">
        <v>131.82843516580701</v>
      </c>
      <c r="J6" s="1">
        <v>8.1876586764119495E-4</v>
      </c>
      <c r="K6" s="2">
        <v>0.1072</v>
      </c>
      <c r="L6" s="1">
        <v>0.19420000000000001</v>
      </c>
      <c r="M6" s="1">
        <v>0.1469</v>
      </c>
    </row>
    <row r="7" spans="1:13" x14ac:dyDescent="0.2">
      <c r="A7" s="1" t="s">
        <v>11</v>
      </c>
      <c r="B7" s="1">
        <v>1</v>
      </c>
      <c r="C7" s="1" t="s">
        <v>13</v>
      </c>
      <c r="D7" s="1">
        <v>1</v>
      </c>
      <c r="E7" s="1">
        <v>39.385477090254398</v>
      </c>
      <c r="F7" s="1">
        <v>98.820672409608903</v>
      </c>
      <c r="G7" s="1">
        <v>9.86728995461017E-3</v>
      </c>
      <c r="H7" s="1">
        <v>82.400969709455893</v>
      </c>
      <c r="I7" s="1">
        <v>131.82843516580701</v>
      </c>
      <c r="J7" s="1">
        <v>8.1876586764119495E-4</v>
      </c>
      <c r="K7" s="2">
        <v>0.124</v>
      </c>
      <c r="L7" s="1">
        <v>0.18859999999999999</v>
      </c>
      <c r="M7" s="1">
        <v>0.12559999999999999</v>
      </c>
    </row>
    <row r="8" spans="1:13" x14ac:dyDescent="0.2">
      <c r="A8" s="1" t="s">
        <v>11</v>
      </c>
      <c r="B8" s="1">
        <v>1</v>
      </c>
      <c r="C8" s="1" t="s">
        <v>14</v>
      </c>
      <c r="D8" s="1">
        <v>1</v>
      </c>
      <c r="E8" s="1">
        <v>39.385477090254398</v>
      </c>
      <c r="F8" s="1">
        <v>98.820672409608903</v>
      </c>
      <c r="G8" s="1">
        <v>9.86728995461017E-3</v>
      </c>
      <c r="H8" s="1">
        <v>82.400969709455893</v>
      </c>
      <c r="I8" s="1">
        <v>131.82843516580701</v>
      </c>
      <c r="J8" s="1">
        <v>8.1876586764119495E-4</v>
      </c>
      <c r="K8" s="2">
        <v>0.1162</v>
      </c>
      <c r="L8" s="1">
        <v>0.1915</v>
      </c>
      <c r="M8" s="1">
        <v>0.1416</v>
      </c>
    </row>
    <row r="9" spans="1:13" x14ac:dyDescent="0.2">
      <c r="A9" s="1" t="s">
        <v>11</v>
      </c>
      <c r="B9" s="1">
        <v>1</v>
      </c>
      <c r="C9" s="1" t="s">
        <v>15</v>
      </c>
      <c r="D9" s="1">
        <v>1</v>
      </c>
      <c r="E9" s="1">
        <v>39.385477090254398</v>
      </c>
      <c r="F9" s="1">
        <v>98.820672409608903</v>
      </c>
      <c r="G9" s="1">
        <v>9.86728995461017E-3</v>
      </c>
      <c r="H9" s="1">
        <v>82.400969709455893</v>
      </c>
      <c r="I9" s="1">
        <v>131.82843516580701</v>
      </c>
      <c r="J9" s="1">
        <v>8.1876586764119495E-4</v>
      </c>
      <c r="K9" s="2">
        <v>0.13189999999999999</v>
      </c>
      <c r="L9" s="1">
        <v>0.16550000000000001</v>
      </c>
      <c r="M9" s="1">
        <v>0.15790000000000001</v>
      </c>
    </row>
    <row r="10" spans="1:13" x14ac:dyDescent="0.2">
      <c r="A10" s="1" t="s">
        <v>16</v>
      </c>
      <c r="B10" s="1">
        <v>2</v>
      </c>
      <c r="C10" s="1" t="s">
        <v>17</v>
      </c>
      <c r="D10" s="1">
        <v>1</v>
      </c>
      <c r="E10" s="1">
        <v>1.9774445150978801</v>
      </c>
      <c r="F10" s="1">
        <v>61.845080981962298</v>
      </c>
      <c r="G10" s="1">
        <v>8.4447457605972803E-2</v>
      </c>
      <c r="H10" s="1">
        <v>116.50605961903899</v>
      </c>
      <c r="I10" s="1">
        <v>138.671974288299</v>
      </c>
      <c r="J10" s="1">
        <v>1.5562218421604401E-3</v>
      </c>
      <c r="K10" s="1">
        <v>0.10929999999999999</v>
      </c>
      <c r="L10" s="1">
        <v>0.27100000000000002</v>
      </c>
      <c r="M10" s="1">
        <v>0.1686</v>
      </c>
    </row>
    <row r="11" spans="1:13" x14ac:dyDescent="0.2">
      <c r="A11" s="1" t="s">
        <v>16</v>
      </c>
      <c r="B11" s="1">
        <v>2</v>
      </c>
      <c r="C11" s="1" t="s">
        <v>18</v>
      </c>
      <c r="D11" s="1">
        <v>1</v>
      </c>
      <c r="E11" s="1">
        <v>1.9774445150978801</v>
      </c>
      <c r="F11" s="1">
        <v>61.845080981962298</v>
      </c>
      <c r="G11" s="1">
        <v>8.4447457605972803E-2</v>
      </c>
      <c r="H11" s="1">
        <v>116.50605961903899</v>
      </c>
      <c r="I11" s="1">
        <v>138.671974288299</v>
      </c>
      <c r="J11" s="1">
        <v>1.5562218421604401E-3</v>
      </c>
      <c r="K11" s="1">
        <v>0.12470000000000001</v>
      </c>
      <c r="L11" s="1">
        <v>0.27989999999999998</v>
      </c>
      <c r="M11" s="1">
        <v>0.1656</v>
      </c>
    </row>
    <row r="12" spans="1:13" x14ac:dyDescent="0.2">
      <c r="A12" s="1" t="s">
        <v>16</v>
      </c>
      <c r="B12" s="1">
        <v>2</v>
      </c>
      <c r="C12" s="1" t="s">
        <v>19</v>
      </c>
      <c r="D12" s="1">
        <v>1</v>
      </c>
      <c r="E12" s="1">
        <v>1.9774445150978801</v>
      </c>
      <c r="F12" s="1">
        <v>61.845080981962298</v>
      </c>
      <c r="G12" s="1">
        <v>8.4447457605972803E-2</v>
      </c>
      <c r="H12" s="1">
        <v>116.50605961903899</v>
      </c>
      <c r="I12" s="1">
        <v>138.671974288299</v>
      </c>
      <c r="J12" s="1">
        <v>1.5562218421604401E-3</v>
      </c>
      <c r="K12" s="1">
        <v>0.1391</v>
      </c>
      <c r="L12" s="1">
        <v>0.29170000000000001</v>
      </c>
      <c r="M12" s="1">
        <v>0.19409999999999999</v>
      </c>
    </row>
    <row r="13" spans="1:13" x14ac:dyDescent="0.2">
      <c r="A13" s="1" t="s">
        <v>16</v>
      </c>
      <c r="B13" s="1">
        <v>2</v>
      </c>
      <c r="C13" s="1" t="s">
        <v>20</v>
      </c>
      <c r="D13" s="1">
        <v>1</v>
      </c>
      <c r="E13" s="1">
        <v>1.9774445150978801</v>
      </c>
      <c r="F13" s="1">
        <v>61.845080981962298</v>
      </c>
      <c r="G13" s="1">
        <v>8.4447457605972803E-2</v>
      </c>
      <c r="H13" s="1">
        <v>116.50605961903899</v>
      </c>
      <c r="I13" s="1">
        <v>138.671974288299</v>
      </c>
      <c r="J13" s="1">
        <v>1.5562218421604401E-3</v>
      </c>
      <c r="K13" s="1">
        <v>0.13200000000000001</v>
      </c>
      <c r="L13" s="1">
        <v>0.28060000000000002</v>
      </c>
      <c r="M13" s="1">
        <v>0.21060000000000001</v>
      </c>
    </row>
    <row r="14" spans="1:13" x14ac:dyDescent="0.2">
      <c r="A14" s="1" t="s">
        <v>21</v>
      </c>
      <c r="B14" s="1">
        <v>3</v>
      </c>
      <c r="C14" s="1" t="s">
        <v>22</v>
      </c>
      <c r="D14" s="1">
        <v>1</v>
      </c>
      <c r="E14" s="1">
        <v>40.145174299832398</v>
      </c>
      <c r="F14" s="1">
        <v>76.262129493057699</v>
      </c>
      <c r="G14" s="1">
        <v>8.3886568040587001E-2</v>
      </c>
      <c r="H14" s="1">
        <v>89.732715544849597</v>
      </c>
      <c r="I14" s="1">
        <v>72.953863008879097</v>
      </c>
      <c r="J14" s="1">
        <v>1.4476775359362302E-4</v>
      </c>
      <c r="K14" s="1">
        <v>0.13930000000000001</v>
      </c>
      <c r="L14" s="1">
        <v>0.24310000000000001</v>
      </c>
      <c r="M14" s="1">
        <v>0.18049999999999999</v>
      </c>
    </row>
    <row r="15" spans="1:13" x14ac:dyDescent="0.2">
      <c r="A15" s="1" t="s">
        <v>21</v>
      </c>
      <c r="B15" s="1">
        <v>3</v>
      </c>
      <c r="C15" s="1" t="s">
        <v>23</v>
      </c>
      <c r="D15" s="1">
        <v>1</v>
      </c>
      <c r="E15" s="1">
        <v>40.145174299832398</v>
      </c>
      <c r="F15" s="1">
        <v>76.262129493057699</v>
      </c>
      <c r="G15" s="1">
        <v>8.3886568040587001E-2</v>
      </c>
      <c r="H15" s="1">
        <v>89.732715544849597</v>
      </c>
      <c r="I15" s="1">
        <v>72.953863008879097</v>
      </c>
      <c r="J15" s="1">
        <v>1.4476775359362302E-4</v>
      </c>
      <c r="K15" s="1">
        <v>0.11849999999999999</v>
      </c>
      <c r="L15" s="1">
        <v>0.22120000000000001</v>
      </c>
      <c r="M15" s="1">
        <v>0.1772</v>
      </c>
    </row>
    <row r="16" spans="1:13" x14ac:dyDescent="0.2">
      <c r="A16" s="1" t="s">
        <v>21</v>
      </c>
      <c r="B16" s="1">
        <v>3</v>
      </c>
      <c r="C16" s="1" t="s">
        <v>24</v>
      </c>
      <c r="D16" s="1">
        <v>1</v>
      </c>
      <c r="E16" s="1">
        <v>40.145174299832398</v>
      </c>
      <c r="F16" s="1">
        <v>76.262129493057699</v>
      </c>
      <c r="G16" s="1">
        <v>8.3886568040587001E-2</v>
      </c>
      <c r="H16" s="1">
        <v>89.732715544849597</v>
      </c>
      <c r="I16" s="1">
        <v>72.953863008879097</v>
      </c>
      <c r="J16" s="1">
        <v>1.4476775359362302E-4</v>
      </c>
      <c r="K16" s="1">
        <v>0.14549999999999999</v>
      </c>
      <c r="L16" s="1">
        <v>0.24340000000000001</v>
      </c>
      <c r="M16" s="1">
        <v>0.15920000000000001</v>
      </c>
    </row>
    <row r="17" spans="1:13" x14ac:dyDescent="0.2">
      <c r="A17" s="1" t="s">
        <v>21</v>
      </c>
      <c r="B17" s="1">
        <v>3</v>
      </c>
      <c r="C17" s="1" t="s">
        <v>25</v>
      </c>
      <c r="D17" s="1">
        <v>1</v>
      </c>
      <c r="E17" s="1">
        <v>40.145174299832398</v>
      </c>
      <c r="F17" s="1">
        <v>76.262129493057699</v>
      </c>
      <c r="G17" s="1">
        <v>8.3886568040587001E-2</v>
      </c>
      <c r="H17" s="1">
        <v>89.732715544849597</v>
      </c>
      <c r="I17" s="1">
        <v>72.953863008879097</v>
      </c>
      <c r="J17" s="1">
        <v>1.4476775359362302E-4</v>
      </c>
      <c r="K17" s="1">
        <v>0.1293</v>
      </c>
      <c r="L17" s="1">
        <v>0.21879999999999999</v>
      </c>
      <c r="M17" s="1">
        <v>0.21229999999999999</v>
      </c>
    </row>
    <row r="18" spans="1:13" x14ac:dyDescent="0.2">
      <c r="A18" s="1" t="s">
        <v>26</v>
      </c>
      <c r="B18" s="1">
        <v>4</v>
      </c>
      <c r="C18" s="1" t="s">
        <v>27</v>
      </c>
      <c r="D18" s="1">
        <v>1</v>
      </c>
      <c r="E18" s="1">
        <v>17.965834881178999</v>
      </c>
      <c r="F18" s="1">
        <v>30.077484808862199</v>
      </c>
      <c r="G18" s="1">
        <v>1.85346032492816E-3</v>
      </c>
      <c r="H18" s="1">
        <v>148.95524360388501</v>
      </c>
      <c r="I18" s="1">
        <v>22.792991199530601</v>
      </c>
      <c r="J18" s="1">
        <v>4.9619088203180497E-3</v>
      </c>
      <c r="K18" s="1">
        <v>0.12759999999999999</v>
      </c>
      <c r="L18" s="1">
        <v>0.2525</v>
      </c>
      <c r="M18" s="1">
        <v>0.2477</v>
      </c>
    </row>
    <row r="19" spans="1:13" x14ac:dyDescent="0.2">
      <c r="A19" s="1" t="s">
        <v>26</v>
      </c>
      <c r="B19" s="1">
        <v>4</v>
      </c>
      <c r="C19" s="1" t="s">
        <v>28</v>
      </c>
      <c r="D19" s="1">
        <v>1</v>
      </c>
      <c r="E19" s="1">
        <v>17.965834881178999</v>
      </c>
      <c r="F19" s="1">
        <v>30.077484808862199</v>
      </c>
      <c r="G19" s="1">
        <v>1.85346032492816E-3</v>
      </c>
      <c r="H19" s="1">
        <v>148.95524360388501</v>
      </c>
      <c r="I19" s="1">
        <v>22.792991199530601</v>
      </c>
      <c r="J19" s="1">
        <v>4.9619088203180497E-3</v>
      </c>
      <c r="K19" s="1">
        <v>0.14599999999999999</v>
      </c>
      <c r="L19" s="1">
        <v>0.12609999999999999</v>
      </c>
      <c r="M19" s="1">
        <v>0.28520000000000001</v>
      </c>
    </row>
    <row r="20" spans="1:13" x14ac:dyDescent="0.2">
      <c r="A20" s="1" t="s">
        <v>26</v>
      </c>
      <c r="B20" s="1">
        <v>4</v>
      </c>
      <c r="C20" s="1" t="s">
        <v>29</v>
      </c>
      <c r="D20" s="1">
        <v>1</v>
      </c>
      <c r="E20" s="1">
        <v>17.965834881178999</v>
      </c>
      <c r="F20" s="1">
        <v>30.077484808862199</v>
      </c>
      <c r="G20" s="1">
        <v>1.85346032492816E-3</v>
      </c>
      <c r="H20" s="1">
        <v>148.95524360388501</v>
      </c>
      <c r="I20" s="1">
        <v>22.792991199530601</v>
      </c>
      <c r="J20" s="1">
        <v>4.9619088203180497E-3</v>
      </c>
      <c r="K20" s="1">
        <v>0.14879999999999999</v>
      </c>
      <c r="L20" s="1">
        <v>0.2412</v>
      </c>
      <c r="M20" s="1">
        <v>0.27960000000000002</v>
      </c>
    </row>
    <row r="21" spans="1:13" x14ac:dyDescent="0.2">
      <c r="A21" s="1" t="s">
        <v>26</v>
      </c>
      <c r="B21" s="1">
        <v>4</v>
      </c>
      <c r="C21" s="1" t="s">
        <v>30</v>
      </c>
      <c r="D21" s="1">
        <v>1</v>
      </c>
      <c r="E21" s="1">
        <v>17.965834881178999</v>
      </c>
      <c r="F21" s="1">
        <v>30.077484808862199</v>
      </c>
      <c r="G21" s="1">
        <v>1.85346032492816E-3</v>
      </c>
      <c r="H21" s="1">
        <v>148.95524360388501</v>
      </c>
      <c r="I21" s="1">
        <v>22.792991199530601</v>
      </c>
      <c r="J21" s="1">
        <v>4.9619088203180497E-3</v>
      </c>
      <c r="K21" s="1">
        <v>0.17649999999999999</v>
      </c>
      <c r="L21" s="1">
        <v>0.28420000000000001</v>
      </c>
      <c r="M21" s="1">
        <v>0.28510000000000002</v>
      </c>
    </row>
    <row r="22" spans="1:13" x14ac:dyDescent="0.2">
      <c r="A22" s="1" t="s">
        <v>31</v>
      </c>
      <c r="B22" s="1">
        <v>5</v>
      </c>
      <c r="C22" s="1" t="s">
        <v>32</v>
      </c>
      <c r="D22" s="1">
        <v>1</v>
      </c>
      <c r="E22" s="1">
        <v>0.81264880625531</v>
      </c>
      <c r="F22" s="1">
        <v>98.408262422308297</v>
      </c>
      <c r="G22" s="1">
        <v>5.5257532438263299E-2</v>
      </c>
      <c r="H22" s="1">
        <v>126.089673971384</v>
      </c>
      <c r="I22" s="1">
        <v>119.58133930340399</v>
      </c>
      <c r="J22" s="1">
        <v>5.9746408192440804E-4</v>
      </c>
      <c r="K22" s="1">
        <v>0.12429999999999999</v>
      </c>
      <c r="L22" s="1">
        <v>0.13719999999999999</v>
      </c>
      <c r="M22" s="1">
        <v>0.15790000000000001</v>
      </c>
    </row>
    <row r="23" spans="1:13" x14ac:dyDescent="0.2">
      <c r="A23" s="1" t="s">
        <v>31</v>
      </c>
      <c r="B23" s="1">
        <v>5</v>
      </c>
      <c r="C23" s="1" t="s">
        <v>33</v>
      </c>
      <c r="D23" s="1">
        <v>1</v>
      </c>
      <c r="E23" s="1">
        <v>0.81264880625531</v>
      </c>
      <c r="F23" s="1">
        <v>98.408262422308297</v>
      </c>
      <c r="G23" s="1">
        <v>5.5257532438263299E-2</v>
      </c>
      <c r="H23" s="1">
        <v>126.089673971384</v>
      </c>
      <c r="I23" s="1">
        <v>119.58133930340399</v>
      </c>
      <c r="J23" s="1">
        <v>5.9746408192440804E-4</v>
      </c>
      <c r="K23" s="1">
        <v>0.1203</v>
      </c>
      <c r="L23" s="1">
        <v>0.10059999999999999</v>
      </c>
      <c r="M23" s="1">
        <v>0.1231</v>
      </c>
    </row>
    <row r="24" spans="1:13" x14ac:dyDescent="0.2">
      <c r="A24" s="1" t="s">
        <v>31</v>
      </c>
      <c r="B24" s="1">
        <v>5</v>
      </c>
      <c r="C24" s="1" t="s">
        <v>34</v>
      </c>
      <c r="D24" s="1">
        <v>1</v>
      </c>
      <c r="E24" s="1">
        <v>0.81264880625531</v>
      </c>
      <c r="F24" s="1">
        <v>98.408262422308297</v>
      </c>
      <c r="G24" s="1">
        <v>5.5257532438263299E-2</v>
      </c>
      <c r="H24" s="1">
        <v>126.089673971384</v>
      </c>
      <c r="I24" s="1">
        <v>119.58133930340399</v>
      </c>
      <c r="J24" s="1">
        <v>5.9746408192440804E-4</v>
      </c>
      <c r="K24" s="1">
        <v>0.26989999999999997</v>
      </c>
      <c r="L24" s="1">
        <v>0.1193</v>
      </c>
      <c r="M24" s="1">
        <v>0.15279999999999999</v>
      </c>
    </row>
    <row r="25" spans="1:13" x14ac:dyDescent="0.2">
      <c r="A25" s="1" t="s">
        <v>31</v>
      </c>
      <c r="B25" s="1">
        <v>5</v>
      </c>
      <c r="C25" s="1" t="s">
        <v>35</v>
      </c>
      <c r="D25" s="1">
        <v>1</v>
      </c>
      <c r="E25" s="1">
        <v>0.81264880625531</v>
      </c>
      <c r="F25" s="1">
        <v>98.408262422308297</v>
      </c>
      <c r="G25" s="1">
        <v>5.5257532438263299E-2</v>
      </c>
      <c r="H25" s="1">
        <v>126.089673971384</v>
      </c>
      <c r="I25" s="1">
        <v>119.58133930340399</v>
      </c>
      <c r="J25" s="1">
        <v>5.9746408192440804E-4</v>
      </c>
      <c r="K25" s="1">
        <v>0.1163</v>
      </c>
      <c r="L25" s="1">
        <v>0.18279999999999999</v>
      </c>
      <c r="M25" s="1">
        <v>0.16750000000000001</v>
      </c>
    </row>
    <row r="26" spans="1:13" x14ac:dyDescent="0.2">
      <c r="A26" s="1" t="s">
        <v>36</v>
      </c>
      <c r="B26" s="1">
        <v>6</v>
      </c>
      <c r="C26" s="1" t="s">
        <v>37</v>
      </c>
      <c r="D26" s="1">
        <v>1</v>
      </c>
      <c r="E26" s="1">
        <v>23.0022299508564</v>
      </c>
      <c r="F26" s="1">
        <v>31.467300863936501</v>
      </c>
      <c r="G26" s="1">
        <v>9.7122458979487403E-2</v>
      </c>
      <c r="H26" s="1">
        <v>143.71259745955399</v>
      </c>
      <c r="I26" s="1">
        <v>149.279992212541</v>
      </c>
      <c r="J26" s="1">
        <v>1.46467626690864E-3</v>
      </c>
      <c r="K26" s="1">
        <v>0.1202</v>
      </c>
      <c r="L26" s="1">
        <v>0.1835</v>
      </c>
      <c r="M26" s="1">
        <v>0.23749999999999999</v>
      </c>
    </row>
    <row r="27" spans="1:13" x14ac:dyDescent="0.2">
      <c r="A27" s="1" t="s">
        <v>36</v>
      </c>
      <c r="B27" s="1">
        <v>6</v>
      </c>
      <c r="C27" s="1" t="s">
        <v>38</v>
      </c>
      <c r="D27" s="1">
        <v>1</v>
      </c>
      <c r="E27" s="1">
        <v>23.0022299508564</v>
      </c>
      <c r="F27" s="1">
        <v>31.467300863936501</v>
      </c>
      <c r="G27" s="1">
        <v>9.7122458979487403E-2</v>
      </c>
      <c r="H27" s="1">
        <v>143.71259745955399</v>
      </c>
      <c r="I27" s="1">
        <v>149.279992212541</v>
      </c>
      <c r="J27" s="1">
        <v>1.46467626690864E-3</v>
      </c>
      <c r="K27" s="1">
        <v>0.13059999999999999</v>
      </c>
      <c r="L27" s="1">
        <v>0.24959999999999999</v>
      </c>
      <c r="M27" s="1">
        <v>0.2404</v>
      </c>
    </row>
    <row r="28" spans="1:13" x14ac:dyDescent="0.2">
      <c r="A28" s="1" t="s">
        <v>36</v>
      </c>
      <c r="B28" s="1">
        <v>6</v>
      </c>
      <c r="C28" s="1" t="s">
        <v>39</v>
      </c>
      <c r="D28" s="1">
        <v>1</v>
      </c>
      <c r="E28" s="1">
        <v>23.0022299508564</v>
      </c>
      <c r="F28" s="1">
        <v>31.467300863936501</v>
      </c>
      <c r="G28" s="1">
        <v>9.7122458979487403E-2</v>
      </c>
      <c r="H28" s="1">
        <v>143.71259745955399</v>
      </c>
      <c r="I28" s="1">
        <v>149.279992212541</v>
      </c>
      <c r="J28" s="1">
        <v>1.46467626690864E-3</v>
      </c>
      <c r="K28" s="1">
        <v>0.14449999999999999</v>
      </c>
      <c r="L28" s="1">
        <v>0.27579999999999999</v>
      </c>
      <c r="M28" s="1">
        <v>0.25019999999999998</v>
      </c>
    </row>
    <row r="29" spans="1:13" x14ac:dyDescent="0.2">
      <c r="A29" s="1" t="s">
        <v>36</v>
      </c>
      <c r="B29" s="1">
        <v>6</v>
      </c>
      <c r="C29" s="1" t="s">
        <v>40</v>
      </c>
      <c r="D29" s="1">
        <v>1</v>
      </c>
      <c r="E29" s="1">
        <v>23.0022299508564</v>
      </c>
      <c r="F29" s="1">
        <v>31.467300863936501</v>
      </c>
      <c r="G29" s="1">
        <v>9.7122458979487403E-2</v>
      </c>
      <c r="H29" s="1">
        <v>143.71259745955399</v>
      </c>
      <c r="I29" s="1">
        <v>149.279992212541</v>
      </c>
      <c r="J29" s="1">
        <v>1.46467626690864E-3</v>
      </c>
      <c r="K29" s="1">
        <v>0.1482</v>
      </c>
      <c r="L29" s="1">
        <v>0.30480000000000002</v>
      </c>
      <c r="M29" s="1">
        <v>0.24859999999999999</v>
      </c>
    </row>
    <row r="30" spans="1:13" x14ac:dyDescent="0.2">
      <c r="A30" s="1" t="s">
        <v>41</v>
      </c>
      <c r="B30" s="1">
        <v>7</v>
      </c>
      <c r="C30" s="1" t="s">
        <v>42</v>
      </c>
      <c r="D30" s="1">
        <v>1</v>
      </c>
      <c r="E30" s="1">
        <v>47.886712159961398</v>
      </c>
      <c r="F30" s="1">
        <v>51.728576443157998</v>
      </c>
      <c r="G30" s="1">
        <v>8.7603115716204008E-2</v>
      </c>
      <c r="H30" s="1">
        <v>96.436404937505699</v>
      </c>
      <c r="I30" s="1">
        <v>29.7282040352001</v>
      </c>
      <c r="J30" s="1">
        <v>9.908614116720849E-5</v>
      </c>
      <c r="K30" s="1">
        <v>0.14480000000000001</v>
      </c>
      <c r="L30" s="1">
        <v>0.25609999999999999</v>
      </c>
      <c r="M30" s="1">
        <v>0.2455</v>
      </c>
    </row>
    <row r="31" spans="1:13" x14ac:dyDescent="0.2">
      <c r="A31" s="1" t="s">
        <v>41</v>
      </c>
      <c r="B31" s="1">
        <v>7</v>
      </c>
      <c r="C31" s="1" t="s">
        <v>43</v>
      </c>
      <c r="D31" s="1">
        <v>1</v>
      </c>
      <c r="E31" s="1">
        <v>47.886712159961398</v>
      </c>
      <c r="F31" s="1">
        <v>51.728576443157998</v>
      </c>
      <c r="G31" s="1">
        <v>8.7603115716204008E-2</v>
      </c>
      <c r="H31" s="1">
        <v>96.436404937505699</v>
      </c>
      <c r="I31" s="1">
        <v>29.7282040352001</v>
      </c>
      <c r="J31" s="1">
        <v>9.908614116720849E-5</v>
      </c>
      <c r="K31" s="1">
        <v>0.13819999999999999</v>
      </c>
      <c r="L31" s="1">
        <v>0.24460000000000001</v>
      </c>
      <c r="M31" s="1">
        <v>0.1782</v>
      </c>
    </row>
    <row r="32" spans="1:13" x14ac:dyDescent="0.2">
      <c r="A32" s="1" t="s">
        <v>41</v>
      </c>
      <c r="B32" s="1">
        <v>7</v>
      </c>
      <c r="C32" s="1" t="s">
        <v>44</v>
      </c>
      <c r="D32" s="1">
        <v>1</v>
      </c>
      <c r="E32" s="1">
        <v>47.886712159961398</v>
      </c>
      <c r="F32" s="1">
        <v>51.728576443157998</v>
      </c>
      <c r="G32" s="1">
        <v>8.7603115716204008E-2</v>
      </c>
      <c r="H32" s="1">
        <v>96.436404937505699</v>
      </c>
      <c r="I32" s="1">
        <v>29.7282040352001</v>
      </c>
      <c r="J32" s="1">
        <v>9.908614116720849E-5</v>
      </c>
      <c r="K32" s="1">
        <v>0.1283</v>
      </c>
      <c r="L32" s="1">
        <v>0.22309999999999999</v>
      </c>
      <c r="M32" s="1">
        <v>0.20710000000000001</v>
      </c>
    </row>
    <row r="33" spans="1:13" x14ac:dyDescent="0.2">
      <c r="A33" s="1" t="s">
        <v>41</v>
      </c>
      <c r="B33" s="1">
        <v>7</v>
      </c>
      <c r="C33" s="1" t="s">
        <v>45</v>
      </c>
      <c r="D33" s="1">
        <v>1</v>
      </c>
      <c r="E33" s="1">
        <v>47.886712159961398</v>
      </c>
      <c r="F33" s="1">
        <v>51.728576443157998</v>
      </c>
      <c r="G33" s="1">
        <v>8.7603115716204008E-2</v>
      </c>
      <c r="H33" s="1">
        <v>96.436404937505699</v>
      </c>
      <c r="I33" s="1">
        <v>29.7282040352001</v>
      </c>
      <c r="J33" s="1">
        <v>9.908614116720849E-5</v>
      </c>
      <c r="K33" s="1">
        <v>0.10920000000000001</v>
      </c>
      <c r="L33" s="1">
        <v>0.2757</v>
      </c>
      <c r="M33" s="1">
        <v>0.1701</v>
      </c>
    </row>
    <row r="34" spans="1:13" x14ac:dyDescent="0.2">
      <c r="A34" s="1" t="s">
        <v>46</v>
      </c>
      <c r="B34" s="1">
        <v>8</v>
      </c>
      <c r="C34" s="1" t="s">
        <v>47</v>
      </c>
      <c r="D34" s="1">
        <v>1</v>
      </c>
      <c r="E34" s="1">
        <v>6.5604620943777201</v>
      </c>
      <c r="F34" s="1">
        <v>65.836226830258894</v>
      </c>
      <c r="G34" s="1">
        <v>1.51952996576204E-2</v>
      </c>
      <c r="H34" s="1">
        <v>147.912989500165</v>
      </c>
      <c r="I34" s="1">
        <v>91.153196250088499</v>
      </c>
      <c r="J34" s="1">
        <v>1.6243262194562702E-3</v>
      </c>
      <c r="K34" s="1">
        <v>0.1211</v>
      </c>
      <c r="L34" s="1">
        <v>0.20130000000000001</v>
      </c>
      <c r="M34" s="1">
        <v>0.20449999999999999</v>
      </c>
    </row>
    <row r="35" spans="1:13" x14ac:dyDescent="0.2">
      <c r="A35" s="1" t="s">
        <v>46</v>
      </c>
      <c r="B35" s="1">
        <v>8</v>
      </c>
      <c r="C35" s="1" t="s">
        <v>48</v>
      </c>
      <c r="D35" s="1">
        <v>1</v>
      </c>
      <c r="E35" s="1">
        <v>6.5604620943777201</v>
      </c>
      <c r="F35" s="1">
        <v>65.836226830258894</v>
      </c>
      <c r="G35" s="1">
        <v>1.51952996576204E-2</v>
      </c>
      <c r="H35" s="1">
        <v>147.912989500165</v>
      </c>
      <c r="I35" s="1">
        <v>91.153196250088499</v>
      </c>
      <c r="J35" s="1">
        <v>1.6243262194562702E-3</v>
      </c>
      <c r="K35" s="1">
        <v>0.1108</v>
      </c>
      <c r="L35" s="1">
        <v>0.2286</v>
      </c>
      <c r="M35" s="1">
        <v>0.13139999999999999</v>
      </c>
    </row>
    <row r="36" spans="1:13" x14ac:dyDescent="0.2">
      <c r="A36" s="1" t="s">
        <v>46</v>
      </c>
      <c r="B36" s="1">
        <v>8</v>
      </c>
      <c r="C36" s="1" t="s">
        <v>49</v>
      </c>
      <c r="D36" s="1">
        <v>1</v>
      </c>
      <c r="E36" s="1">
        <v>6.5604620943777201</v>
      </c>
      <c r="F36" s="1">
        <v>65.836226830258894</v>
      </c>
      <c r="G36" s="1">
        <v>1.51952996576204E-2</v>
      </c>
      <c r="H36" s="1">
        <v>147.912989500165</v>
      </c>
      <c r="I36" s="1">
        <v>91.153196250088499</v>
      </c>
      <c r="J36" s="1">
        <v>1.6243262194562702E-3</v>
      </c>
      <c r="K36" s="1">
        <v>0.12559999999999999</v>
      </c>
      <c r="L36" s="1">
        <v>0.2089</v>
      </c>
      <c r="M36" s="1">
        <v>0.17249999999999999</v>
      </c>
    </row>
    <row r="37" spans="1:13" x14ac:dyDescent="0.2">
      <c r="A37" s="1" t="s">
        <v>46</v>
      </c>
      <c r="B37" s="1">
        <v>8</v>
      </c>
      <c r="C37" s="1" t="s">
        <v>50</v>
      </c>
      <c r="D37" s="1">
        <v>1</v>
      </c>
      <c r="E37" s="1">
        <v>6.5604620943777201</v>
      </c>
      <c r="F37" s="1">
        <v>65.836226830258894</v>
      </c>
      <c r="G37" s="1">
        <v>1.51952996576204E-2</v>
      </c>
      <c r="H37" s="1">
        <v>147.912989500165</v>
      </c>
      <c r="I37" s="1">
        <v>91.153196250088499</v>
      </c>
      <c r="J37" s="1">
        <v>1.6243262194562702E-3</v>
      </c>
      <c r="K37" s="1">
        <v>0.1295</v>
      </c>
      <c r="L37" s="1">
        <v>0.17849999999999999</v>
      </c>
      <c r="M37" s="1">
        <v>0.15740000000000001</v>
      </c>
    </row>
    <row r="38" spans="1:13" x14ac:dyDescent="0.2">
      <c r="A38" s="1" t="s">
        <v>51</v>
      </c>
      <c r="B38" s="1">
        <v>9</v>
      </c>
      <c r="C38" s="1" t="s">
        <v>52</v>
      </c>
      <c r="D38" s="1">
        <v>1</v>
      </c>
      <c r="E38" s="1">
        <v>4.7327455822378397</v>
      </c>
      <c r="F38" s="1">
        <v>30.623905996792001</v>
      </c>
      <c r="G38" s="1">
        <v>3.0192219642735999E-2</v>
      </c>
      <c r="H38" s="1">
        <v>130.58062548935399</v>
      </c>
      <c r="I38" s="1">
        <v>140.78715392388401</v>
      </c>
      <c r="J38" s="1">
        <v>3.6869418133050197E-3</v>
      </c>
      <c r="K38" s="1">
        <v>0.1507</v>
      </c>
      <c r="L38" s="1">
        <v>0.246</v>
      </c>
      <c r="M38" s="1">
        <v>0.27139999999999997</v>
      </c>
    </row>
    <row r="39" spans="1:13" x14ac:dyDescent="0.2">
      <c r="A39" s="1" t="s">
        <v>51</v>
      </c>
      <c r="B39" s="1">
        <v>9</v>
      </c>
      <c r="C39" s="1" t="s">
        <v>53</v>
      </c>
      <c r="D39" s="1">
        <v>1</v>
      </c>
      <c r="E39" s="1">
        <v>4.7327455822378397</v>
      </c>
      <c r="F39" s="1">
        <v>30.623905996792001</v>
      </c>
      <c r="G39" s="1">
        <v>3.0192219642735999E-2</v>
      </c>
      <c r="H39" s="1">
        <v>130.58062548935399</v>
      </c>
      <c r="I39" s="1">
        <v>140.78715392388401</v>
      </c>
      <c r="J39" s="1">
        <v>3.6869418133050197E-3</v>
      </c>
      <c r="K39" s="1">
        <v>0.1542</v>
      </c>
      <c r="L39" s="1">
        <v>0.2777</v>
      </c>
      <c r="M39" s="1">
        <v>0.252</v>
      </c>
    </row>
    <row r="40" spans="1:13" x14ac:dyDescent="0.2">
      <c r="A40" s="1" t="s">
        <v>51</v>
      </c>
      <c r="B40" s="1">
        <v>9</v>
      </c>
      <c r="C40" s="1" t="s">
        <v>54</v>
      </c>
      <c r="D40" s="1">
        <v>1</v>
      </c>
      <c r="E40" s="1">
        <v>4.7327455822378397</v>
      </c>
      <c r="F40" s="1">
        <v>30.623905996792001</v>
      </c>
      <c r="G40" s="1">
        <v>3.0192219642735999E-2</v>
      </c>
      <c r="H40" s="1">
        <v>130.58062548935399</v>
      </c>
      <c r="I40" s="1">
        <v>140.78715392388401</v>
      </c>
      <c r="J40" s="1">
        <v>3.6869418133050197E-3</v>
      </c>
      <c r="K40" s="1">
        <v>0.1608</v>
      </c>
      <c r="L40" s="1">
        <v>0.2737</v>
      </c>
      <c r="M40" s="1">
        <v>0.28339999999999999</v>
      </c>
    </row>
    <row r="41" spans="1:13" x14ac:dyDescent="0.2">
      <c r="A41" s="1" t="s">
        <v>51</v>
      </c>
      <c r="B41" s="1">
        <v>9</v>
      </c>
      <c r="C41" s="1" t="s">
        <v>55</v>
      </c>
      <c r="D41" s="1">
        <v>1</v>
      </c>
      <c r="E41" s="1">
        <v>4.7327455822378397</v>
      </c>
      <c r="F41" s="1">
        <v>30.623905996792001</v>
      </c>
      <c r="G41" s="1">
        <v>3.0192219642735999E-2</v>
      </c>
      <c r="H41" s="1">
        <v>130.58062548935399</v>
      </c>
      <c r="I41" s="1">
        <v>140.78715392388401</v>
      </c>
      <c r="J41" s="1">
        <v>3.6869418133050197E-3</v>
      </c>
      <c r="K41" s="1">
        <v>0.16</v>
      </c>
      <c r="L41" s="1">
        <v>0.26900000000000002</v>
      </c>
      <c r="M41" s="1">
        <v>0.26629999999999998</v>
      </c>
    </row>
    <row r="42" spans="1:13" x14ac:dyDescent="0.2">
      <c r="A42" s="1" t="s">
        <v>56</v>
      </c>
      <c r="B42" s="1">
        <v>10</v>
      </c>
      <c r="C42" s="1" t="s">
        <v>57</v>
      </c>
      <c r="D42" s="1">
        <v>1</v>
      </c>
      <c r="E42" s="1">
        <v>37.457540513016198</v>
      </c>
      <c r="F42" s="1">
        <v>51.851574426516798</v>
      </c>
      <c r="G42" s="1">
        <v>1.1810401223599899E-3</v>
      </c>
      <c r="H42" s="1">
        <v>7.6663969926536</v>
      </c>
      <c r="I42" s="1">
        <v>123.083210145123</v>
      </c>
      <c r="J42" s="1">
        <v>4.5165213983971598E-3</v>
      </c>
      <c r="K42" s="1">
        <v>0.14119999999999999</v>
      </c>
      <c r="L42" s="1">
        <v>0.12570000000000001</v>
      </c>
      <c r="M42" s="1">
        <v>0.47239999999999999</v>
      </c>
    </row>
    <row r="43" spans="1:13" x14ac:dyDescent="0.2">
      <c r="A43" s="1" t="s">
        <v>56</v>
      </c>
      <c r="B43" s="1">
        <v>10</v>
      </c>
      <c r="C43" s="1" t="s">
        <v>58</v>
      </c>
      <c r="D43" s="1">
        <v>1</v>
      </c>
      <c r="E43" s="1">
        <v>37.457540513016198</v>
      </c>
      <c r="F43" s="1">
        <v>51.851574426516798</v>
      </c>
      <c r="G43" s="1">
        <v>1.1810401223599899E-3</v>
      </c>
      <c r="H43" s="1">
        <v>7.6663969926536</v>
      </c>
      <c r="I43" s="1">
        <v>123.083210145123</v>
      </c>
      <c r="J43" s="1">
        <v>4.5165213983971598E-3</v>
      </c>
      <c r="K43" s="1">
        <v>0.13389999999999999</v>
      </c>
      <c r="L43" s="1">
        <v>0.1842</v>
      </c>
      <c r="M43" s="1">
        <v>0.1857</v>
      </c>
    </row>
    <row r="44" spans="1:13" x14ac:dyDescent="0.2">
      <c r="A44" s="1" t="s">
        <v>56</v>
      </c>
      <c r="B44" s="1">
        <v>10</v>
      </c>
      <c r="C44" s="1" t="s">
        <v>59</v>
      </c>
      <c r="D44" s="1">
        <v>1</v>
      </c>
      <c r="E44" s="1">
        <v>37.457540513016198</v>
      </c>
      <c r="F44" s="1">
        <v>51.851574426516798</v>
      </c>
      <c r="G44" s="1">
        <v>1.1810401223599899E-3</v>
      </c>
      <c r="H44" s="1">
        <v>7.6663969926536</v>
      </c>
      <c r="I44" s="1">
        <v>123.083210145123</v>
      </c>
      <c r="J44" s="1">
        <v>4.5165213983971598E-3</v>
      </c>
      <c r="K44" s="1">
        <v>0.14510000000000001</v>
      </c>
      <c r="L44" s="1">
        <v>0.25369999999999998</v>
      </c>
      <c r="M44" s="1">
        <v>0.2863</v>
      </c>
    </row>
    <row r="45" spans="1:13" x14ac:dyDescent="0.2">
      <c r="A45" s="1" t="s">
        <v>56</v>
      </c>
      <c r="B45" s="1">
        <v>10</v>
      </c>
      <c r="C45" s="1" t="s">
        <v>60</v>
      </c>
      <c r="D45" s="1">
        <v>1</v>
      </c>
      <c r="E45" s="1">
        <v>37.457540513016198</v>
      </c>
      <c r="F45" s="1">
        <v>51.851574426516798</v>
      </c>
      <c r="G45" s="1">
        <v>1.1810401223599899E-3</v>
      </c>
      <c r="H45" s="1">
        <v>7.6663969926536</v>
      </c>
      <c r="I45" s="1">
        <v>123.083210145123</v>
      </c>
      <c r="J45" s="1">
        <v>4.5165213983971598E-3</v>
      </c>
      <c r="K45" s="1">
        <v>0.15260000000000001</v>
      </c>
      <c r="L45" s="1">
        <v>0.1903</v>
      </c>
      <c r="M45" s="1">
        <v>0.65149999999999997</v>
      </c>
    </row>
    <row r="46" spans="1:13" x14ac:dyDescent="0.2">
      <c r="A46" s="1" t="s">
        <v>61</v>
      </c>
      <c r="B46" s="1">
        <v>11</v>
      </c>
      <c r="C46" s="1" t="s">
        <v>62</v>
      </c>
      <c r="D46" s="1">
        <v>1</v>
      </c>
      <c r="E46" s="1">
        <v>27.1271541463211</v>
      </c>
      <c r="F46" s="1">
        <v>78.244181196205304</v>
      </c>
      <c r="G46" s="1">
        <v>2.8279020439274601E-2</v>
      </c>
      <c r="H46" s="1">
        <v>73.379333168268204</v>
      </c>
      <c r="I46" s="1">
        <v>135.519754537381</v>
      </c>
      <c r="J46" s="1">
        <v>2.7565309631172501E-3</v>
      </c>
      <c r="K46" s="1">
        <v>0.13669999999999999</v>
      </c>
      <c r="L46" s="1">
        <v>0.26079999999999998</v>
      </c>
      <c r="M46" s="1">
        <v>0.22170000000000001</v>
      </c>
    </row>
    <row r="47" spans="1:13" x14ac:dyDescent="0.2">
      <c r="A47" s="1" t="s">
        <v>61</v>
      </c>
      <c r="B47" s="1">
        <v>11</v>
      </c>
      <c r="C47" s="1" t="s">
        <v>63</v>
      </c>
      <c r="D47" s="1">
        <v>1</v>
      </c>
      <c r="E47" s="1">
        <v>27.1271541463211</v>
      </c>
      <c r="F47" s="1">
        <v>78.244181196205304</v>
      </c>
      <c r="G47" s="1">
        <v>2.8279020439274601E-2</v>
      </c>
      <c r="H47" s="1">
        <v>73.379333168268204</v>
      </c>
      <c r="I47" s="1">
        <v>135.519754537381</v>
      </c>
      <c r="J47" s="1">
        <v>2.7565309631172501E-3</v>
      </c>
      <c r="K47" s="1">
        <v>0.11890000000000001</v>
      </c>
      <c r="L47" s="1">
        <v>0.23849999999999999</v>
      </c>
      <c r="M47" s="1">
        <v>0.193</v>
      </c>
    </row>
    <row r="48" spans="1:13" x14ac:dyDescent="0.2">
      <c r="A48" s="1" t="s">
        <v>61</v>
      </c>
      <c r="B48" s="1">
        <v>11</v>
      </c>
      <c r="C48" s="1" t="s">
        <v>64</v>
      </c>
      <c r="D48" s="1">
        <v>1</v>
      </c>
      <c r="E48" s="1">
        <v>27.1271541463211</v>
      </c>
      <c r="F48" s="1">
        <v>78.244181196205304</v>
      </c>
      <c r="G48" s="1">
        <v>2.8279020439274601E-2</v>
      </c>
      <c r="H48" s="1">
        <v>73.379333168268204</v>
      </c>
      <c r="I48" s="1">
        <v>135.519754537381</v>
      </c>
      <c r="J48" s="1">
        <v>2.7565309631172501E-3</v>
      </c>
      <c r="K48" s="1">
        <v>0.12570000000000001</v>
      </c>
      <c r="L48" s="1">
        <v>0.2475</v>
      </c>
      <c r="M48" s="1">
        <v>0.22070000000000001</v>
      </c>
    </row>
    <row r="49" spans="1:13" x14ac:dyDescent="0.2">
      <c r="A49" s="1" t="s">
        <v>61</v>
      </c>
      <c r="B49" s="1">
        <v>11</v>
      </c>
      <c r="C49" s="1" t="s">
        <v>65</v>
      </c>
      <c r="D49" s="1">
        <v>1</v>
      </c>
      <c r="E49" s="1">
        <v>27.1271541463211</v>
      </c>
      <c r="F49" s="1">
        <v>78.244181196205304</v>
      </c>
      <c r="G49" s="1">
        <v>2.8279020439274601E-2</v>
      </c>
      <c r="H49" s="1">
        <v>73.379333168268204</v>
      </c>
      <c r="I49" s="1">
        <v>135.519754537381</v>
      </c>
      <c r="J49" s="1">
        <v>2.7565309631172501E-3</v>
      </c>
      <c r="K49" s="1">
        <v>0.12759999999999999</v>
      </c>
      <c r="L49" s="1">
        <v>0.24210000000000001</v>
      </c>
      <c r="M49" s="1">
        <v>0.21579999999999999</v>
      </c>
    </row>
    <row r="50" spans="1:13" x14ac:dyDescent="0.2">
      <c r="A50" s="1" t="s">
        <v>66</v>
      </c>
      <c r="B50" s="1">
        <v>12</v>
      </c>
      <c r="C50" s="1" t="s">
        <v>67</v>
      </c>
      <c r="D50" s="1">
        <v>1</v>
      </c>
      <c r="E50" s="1">
        <v>40.977288659196297</v>
      </c>
      <c r="F50" s="1">
        <v>26.279411775059899</v>
      </c>
      <c r="G50" s="1">
        <v>9.8893191308528097E-2</v>
      </c>
      <c r="H50" s="1">
        <v>28.858559004217302</v>
      </c>
      <c r="I50" s="1">
        <v>57.7835241006687</v>
      </c>
      <c r="J50" s="1">
        <v>3.1828262456692696E-4</v>
      </c>
      <c r="K50" s="1">
        <v>0.66900000000000004</v>
      </c>
      <c r="L50" s="1">
        <v>0.36940000000000001</v>
      </c>
      <c r="M50" s="1">
        <v>0.55430000000000001</v>
      </c>
    </row>
    <row r="51" spans="1:13" x14ac:dyDescent="0.2">
      <c r="A51" s="1" t="s">
        <v>66</v>
      </c>
      <c r="B51" s="1">
        <v>12</v>
      </c>
      <c r="C51" s="1" t="s">
        <v>68</v>
      </c>
      <c r="D51" s="1">
        <v>1</v>
      </c>
      <c r="E51" s="1">
        <v>40.977288659196297</v>
      </c>
      <c r="F51" s="1">
        <v>26.279411775059899</v>
      </c>
      <c r="G51" s="1">
        <v>9.8893191308528097E-2</v>
      </c>
      <c r="H51" s="1">
        <v>28.858559004217302</v>
      </c>
      <c r="I51" s="1">
        <v>57.7835241006687</v>
      </c>
      <c r="J51" s="1">
        <v>3.1828262456692696E-4</v>
      </c>
      <c r="K51" s="1">
        <v>0.1983</v>
      </c>
      <c r="L51" s="1">
        <v>0.4481</v>
      </c>
      <c r="M51" s="1">
        <v>0.2006</v>
      </c>
    </row>
    <row r="52" spans="1:13" x14ac:dyDescent="0.2">
      <c r="A52" s="1" t="s">
        <v>66</v>
      </c>
      <c r="B52" s="1">
        <v>12</v>
      </c>
      <c r="C52" s="1" t="s">
        <v>69</v>
      </c>
      <c r="D52" s="1">
        <v>1</v>
      </c>
      <c r="E52" s="1">
        <v>40.977288659196297</v>
      </c>
      <c r="F52" s="1">
        <v>26.279411775059899</v>
      </c>
      <c r="G52" s="1">
        <v>9.8893191308528097E-2</v>
      </c>
      <c r="H52" s="1">
        <v>28.858559004217302</v>
      </c>
      <c r="I52" s="1">
        <v>57.7835241006687</v>
      </c>
      <c r="J52" s="1">
        <v>3.1828262456692696E-4</v>
      </c>
      <c r="K52" s="1">
        <v>0.23050000000000001</v>
      </c>
      <c r="L52" s="1">
        <v>0.41189999999999999</v>
      </c>
      <c r="M52" s="1">
        <v>0.4718</v>
      </c>
    </row>
    <row r="53" spans="1:13" x14ac:dyDescent="0.2">
      <c r="A53" s="1" t="s">
        <v>66</v>
      </c>
      <c r="B53" s="1">
        <v>12</v>
      </c>
      <c r="C53" s="1" t="s">
        <v>70</v>
      </c>
      <c r="D53" s="1">
        <v>1</v>
      </c>
      <c r="E53" s="1">
        <v>40.977288659196297</v>
      </c>
      <c r="F53" s="1">
        <v>26.279411775059899</v>
      </c>
      <c r="G53" s="1">
        <v>9.8893191308528097E-2</v>
      </c>
      <c r="H53" s="1">
        <v>28.858559004217302</v>
      </c>
      <c r="I53" s="1">
        <v>57.7835241006687</v>
      </c>
      <c r="J53" s="1">
        <v>3.1828262456692696E-4</v>
      </c>
      <c r="K53" s="1">
        <v>0.22950000000000001</v>
      </c>
      <c r="L53" s="1">
        <v>0.70389999999999997</v>
      </c>
      <c r="M53" s="1">
        <v>0.51619999999999999</v>
      </c>
    </row>
    <row r="54" spans="1:13" x14ac:dyDescent="0.2">
      <c r="A54" s="1" t="s">
        <v>71</v>
      </c>
      <c r="B54" s="1">
        <v>13</v>
      </c>
      <c r="C54" s="1" t="s">
        <v>72</v>
      </c>
      <c r="D54" s="1">
        <v>1</v>
      </c>
      <c r="E54" s="1">
        <v>37.673699150793198</v>
      </c>
      <c r="F54" s="1">
        <v>6.14046378619968</v>
      </c>
      <c r="G54" s="1">
        <v>7.7140842418372602E-2</v>
      </c>
      <c r="H54" s="1">
        <v>69.828794682770905</v>
      </c>
      <c r="I54" s="1">
        <v>28.773803408257599</v>
      </c>
      <c r="J54" s="1">
        <v>4.9186664988752401E-3</v>
      </c>
      <c r="K54" s="1">
        <v>0.17660000000000001</v>
      </c>
      <c r="L54" s="1">
        <v>0.50649999999999995</v>
      </c>
      <c r="M54" s="1">
        <v>0.30309999999999998</v>
      </c>
    </row>
    <row r="55" spans="1:13" x14ac:dyDescent="0.2">
      <c r="A55" s="1" t="s">
        <v>71</v>
      </c>
      <c r="B55" s="1">
        <v>13</v>
      </c>
      <c r="C55" s="1" t="s">
        <v>73</v>
      </c>
      <c r="D55" s="1">
        <v>1</v>
      </c>
      <c r="E55" s="1">
        <v>37.673699150793198</v>
      </c>
      <c r="F55" s="1">
        <v>6.14046378619968</v>
      </c>
      <c r="G55" s="1">
        <v>7.7140842418372602E-2</v>
      </c>
      <c r="H55" s="1">
        <v>69.828794682770905</v>
      </c>
      <c r="I55" s="1">
        <v>28.773803408257599</v>
      </c>
      <c r="J55" s="1">
        <v>4.9186664988752401E-3</v>
      </c>
      <c r="K55" s="1">
        <v>0.24729999999999999</v>
      </c>
      <c r="L55" s="1">
        <v>0.50139999999999996</v>
      </c>
      <c r="M55" s="1">
        <v>0.31169999999999998</v>
      </c>
    </row>
    <row r="56" spans="1:13" x14ac:dyDescent="0.2">
      <c r="A56" s="1" t="s">
        <v>71</v>
      </c>
      <c r="B56" s="1">
        <v>13</v>
      </c>
      <c r="C56" s="1" t="s">
        <v>74</v>
      </c>
      <c r="D56" s="1">
        <v>1</v>
      </c>
      <c r="E56" s="1">
        <v>37.673699150793198</v>
      </c>
      <c r="F56" s="1">
        <v>6.14046378619968</v>
      </c>
      <c r="G56" s="1">
        <v>7.7140842418372602E-2</v>
      </c>
      <c r="H56" s="1">
        <v>69.828794682770905</v>
      </c>
      <c r="I56" s="1">
        <v>28.773803408257599</v>
      </c>
      <c r="J56" s="1">
        <v>4.9186664988752401E-3</v>
      </c>
      <c r="K56" s="1">
        <v>0.1961</v>
      </c>
      <c r="L56" s="1">
        <v>0.4471</v>
      </c>
      <c r="M56" s="1">
        <v>0.25469999999999998</v>
      </c>
    </row>
    <row r="57" spans="1:13" x14ac:dyDescent="0.2">
      <c r="A57" s="1" t="s">
        <v>71</v>
      </c>
      <c r="B57" s="1">
        <v>13</v>
      </c>
      <c r="C57" s="1" t="s">
        <v>75</v>
      </c>
      <c r="D57" s="1">
        <v>1</v>
      </c>
      <c r="E57" s="1">
        <v>37.673699150793198</v>
      </c>
      <c r="F57" s="1">
        <v>6.14046378619968</v>
      </c>
      <c r="G57" s="1">
        <v>7.7140842418372602E-2</v>
      </c>
      <c r="H57" s="1">
        <v>69.828794682770905</v>
      </c>
      <c r="I57" s="1">
        <v>28.773803408257599</v>
      </c>
      <c r="J57" s="1">
        <v>4.9186664988752401E-3</v>
      </c>
      <c r="K57" s="1">
        <v>0.25540000000000002</v>
      </c>
      <c r="L57" s="1">
        <v>0.47639999999999999</v>
      </c>
      <c r="M57" s="1">
        <v>0.2883</v>
      </c>
    </row>
    <row r="58" spans="1:13" x14ac:dyDescent="0.2">
      <c r="A58" s="1" t="s">
        <v>76</v>
      </c>
      <c r="B58" s="1">
        <v>14</v>
      </c>
      <c r="C58" s="1" t="s">
        <v>77</v>
      </c>
      <c r="D58" s="1">
        <v>1</v>
      </c>
      <c r="E58" s="1">
        <v>10.563694240525299</v>
      </c>
      <c r="F58" s="1">
        <v>35.510091682895997</v>
      </c>
      <c r="G58" s="1">
        <v>1.4023234792798701E-2</v>
      </c>
      <c r="H58" s="1">
        <v>108.38631501868301</v>
      </c>
      <c r="I58" s="1">
        <v>17.053102296776999</v>
      </c>
      <c r="J58" s="1">
        <v>3.4548013789579201E-3</v>
      </c>
      <c r="K58" s="1">
        <v>0.14910000000000001</v>
      </c>
      <c r="L58" s="1">
        <v>0.2495</v>
      </c>
      <c r="M58" s="1">
        <v>0.3085</v>
      </c>
    </row>
    <row r="59" spans="1:13" x14ac:dyDescent="0.2">
      <c r="A59" s="1" t="s">
        <v>76</v>
      </c>
      <c r="B59" s="1">
        <v>14</v>
      </c>
      <c r="C59" s="1" t="s">
        <v>78</v>
      </c>
      <c r="D59" s="1">
        <v>1</v>
      </c>
      <c r="E59" s="1">
        <v>10.563694240525299</v>
      </c>
      <c r="F59" s="1">
        <v>35.510091682895997</v>
      </c>
      <c r="G59" s="1">
        <v>1.4023234792798701E-2</v>
      </c>
      <c r="H59" s="1">
        <v>108.38631501868301</v>
      </c>
      <c r="I59" s="1">
        <v>17.053102296776999</v>
      </c>
      <c r="J59" s="1">
        <v>3.4548013789579201E-3</v>
      </c>
      <c r="K59" s="1">
        <v>0.14580000000000001</v>
      </c>
      <c r="L59" s="1">
        <v>0.27089999999999997</v>
      </c>
      <c r="M59" s="1">
        <v>0.39679999999999999</v>
      </c>
    </row>
    <row r="60" spans="1:13" x14ac:dyDescent="0.2">
      <c r="A60" s="1" t="s">
        <v>76</v>
      </c>
      <c r="B60" s="1">
        <v>14</v>
      </c>
      <c r="C60" s="1" t="s">
        <v>79</v>
      </c>
      <c r="D60" s="1">
        <v>1</v>
      </c>
      <c r="E60" s="1">
        <v>10.563694240525299</v>
      </c>
      <c r="F60" s="1">
        <v>35.510091682895997</v>
      </c>
      <c r="G60" s="1">
        <v>1.4023234792798701E-2</v>
      </c>
      <c r="H60" s="1">
        <v>108.38631501868301</v>
      </c>
      <c r="I60" s="1">
        <v>17.053102296776999</v>
      </c>
      <c r="J60" s="1">
        <v>3.4548013789579201E-3</v>
      </c>
      <c r="K60" s="1">
        <v>0.15310000000000001</v>
      </c>
      <c r="L60" s="1">
        <v>0.55820000000000003</v>
      </c>
      <c r="M60" s="1">
        <v>0.34899999999999998</v>
      </c>
    </row>
    <row r="61" spans="1:13" x14ac:dyDescent="0.2">
      <c r="A61" s="1" t="s">
        <v>76</v>
      </c>
      <c r="B61" s="1">
        <v>14</v>
      </c>
      <c r="C61" s="1" t="s">
        <v>80</v>
      </c>
      <c r="D61" s="1">
        <v>1</v>
      </c>
      <c r="E61" s="1">
        <v>10.563694240525299</v>
      </c>
      <c r="F61" s="1">
        <v>35.510091682895997</v>
      </c>
      <c r="G61" s="1">
        <v>1.4023234792798701E-2</v>
      </c>
      <c r="H61" s="1">
        <v>108.38631501868301</v>
      </c>
      <c r="I61" s="1">
        <v>17.053102296776999</v>
      </c>
      <c r="J61" s="1">
        <v>3.4548013789579201E-3</v>
      </c>
      <c r="K61" s="1">
        <v>0.14510000000000001</v>
      </c>
      <c r="L61" s="1">
        <v>0.41460000000000002</v>
      </c>
      <c r="M61" s="1">
        <v>0.38679999999999998</v>
      </c>
    </row>
    <row r="62" spans="1:13" x14ac:dyDescent="0.2">
      <c r="A62" s="1" t="s">
        <v>81</v>
      </c>
      <c r="B62" s="1">
        <v>15</v>
      </c>
      <c r="C62" s="1" t="s">
        <v>82</v>
      </c>
      <c r="D62" s="1">
        <v>1</v>
      </c>
      <c r="E62" s="1">
        <v>6.0609514052048299</v>
      </c>
      <c r="F62" s="1">
        <v>9.8123437054455191</v>
      </c>
      <c r="G62" s="1">
        <v>9.1711681522428905E-4</v>
      </c>
      <c r="H62" s="1">
        <v>18.654741311073298</v>
      </c>
      <c r="I62" s="1">
        <v>29.277416020631701</v>
      </c>
      <c r="J62" s="1">
        <v>1.18357616383582E-4</v>
      </c>
      <c r="K62" s="1">
        <v>0.22450000000000001</v>
      </c>
      <c r="L62" s="1">
        <v>0.58220000000000005</v>
      </c>
      <c r="M62" s="1">
        <v>0.43330000000000002</v>
      </c>
    </row>
    <row r="63" spans="1:13" x14ac:dyDescent="0.2">
      <c r="A63" s="1" t="s">
        <v>81</v>
      </c>
      <c r="B63" s="1">
        <v>15</v>
      </c>
      <c r="C63" s="1" t="s">
        <v>83</v>
      </c>
      <c r="D63" s="1">
        <v>1</v>
      </c>
      <c r="E63" s="1">
        <v>6.0609514052048299</v>
      </c>
      <c r="F63" s="1">
        <v>9.8123437054455191</v>
      </c>
      <c r="G63" s="1">
        <v>9.1711681522428905E-4</v>
      </c>
      <c r="H63" s="1">
        <v>18.654741311073298</v>
      </c>
      <c r="I63" s="1">
        <v>29.277416020631701</v>
      </c>
      <c r="J63" s="1">
        <v>1.18357616383582E-4</v>
      </c>
      <c r="K63" s="1">
        <v>0.35439999999999999</v>
      </c>
      <c r="L63" s="1">
        <v>0.69259999999999999</v>
      </c>
      <c r="M63" s="1">
        <v>0.45490000000000003</v>
      </c>
    </row>
    <row r="64" spans="1:13" x14ac:dyDescent="0.2">
      <c r="A64" s="1" t="s">
        <v>81</v>
      </c>
      <c r="B64" s="1">
        <v>15</v>
      </c>
      <c r="C64" s="1" t="s">
        <v>84</v>
      </c>
      <c r="D64" s="1">
        <v>1</v>
      </c>
      <c r="E64" s="1">
        <v>6.0609514052048299</v>
      </c>
      <c r="F64" s="1">
        <v>9.8123437054455191</v>
      </c>
      <c r="G64" s="1">
        <v>9.1711681522428905E-4</v>
      </c>
      <c r="H64" s="1">
        <v>18.654741311073298</v>
      </c>
      <c r="I64" s="1">
        <v>29.277416020631701</v>
      </c>
      <c r="J64" s="1">
        <v>1.18357616383582E-4</v>
      </c>
      <c r="K64" s="1">
        <v>0.33879999999999999</v>
      </c>
      <c r="L64" s="1">
        <v>0.81489999999999996</v>
      </c>
      <c r="M64" s="1">
        <v>0.62070000000000003</v>
      </c>
    </row>
    <row r="65" spans="1:13" x14ac:dyDescent="0.2">
      <c r="A65" s="1" t="s">
        <v>81</v>
      </c>
      <c r="B65" s="1">
        <v>15</v>
      </c>
      <c r="C65" s="1" t="s">
        <v>85</v>
      </c>
      <c r="D65" s="1">
        <v>1</v>
      </c>
      <c r="E65" s="1">
        <v>6.0609514052048299</v>
      </c>
      <c r="F65" s="1">
        <v>9.8123437054455191</v>
      </c>
      <c r="G65" s="1">
        <v>9.1711681522428905E-4</v>
      </c>
      <c r="H65" s="1">
        <v>18.654741311073298</v>
      </c>
      <c r="I65" s="1">
        <v>29.277416020631701</v>
      </c>
      <c r="J65" s="1">
        <v>1.18357616383582E-4</v>
      </c>
      <c r="K65" s="1">
        <v>0.29920000000000002</v>
      </c>
      <c r="L65" s="1">
        <v>0.61929999999999996</v>
      </c>
      <c r="M65" s="1">
        <v>0.3982</v>
      </c>
    </row>
    <row r="66" spans="1:13" x14ac:dyDescent="0.2">
      <c r="A66" s="1" t="s">
        <v>86</v>
      </c>
      <c r="B66" s="1">
        <v>16</v>
      </c>
      <c r="C66" s="1" t="s">
        <v>87</v>
      </c>
      <c r="D66" s="1">
        <v>1</v>
      </c>
      <c r="E66" s="1">
        <v>45.610725628212002</v>
      </c>
      <c r="F66" s="1">
        <v>1.3583778422325801</v>
      </c>
      <c r="G66" s="1">
        <v>7.9607481194101201E-2</v>
      </c>
      <c r="H66" s="1">
        <v>7.5487740635871798</v>
      </c>
      <c r="I66" s="1">
        <v>35.651485878042799</v>
      </c>
      <c r="J66" s="1">
        <v>2.7604385958984398E-4</v>
      </c>
      <c r="K66" s="1">
        <v>0.15329999999999999</v>
      </c>
      <c r="L66" s="1">
        <v>0.26419999999999999</v>
      </c>
      <c r="M66" s="1">
        <v>0.16719999999999999</v>
      </c>
    </row>
    <row r="67" spans="1:13" x14ac:dyDescent="0.2">
      <c r="A67" s="1" t="s">
        <v>86</v>
      </c>
      <c r="B67" s="1">
        <v>16</v>
      </c>
      <c r="C67" s="1" t="s">
        <v>88</v>
      </c>
      <c r="D67" s="1">
        <v>1</v>
      </c>
      <c r="E67" s="1">
        <v>45.610725628212002</v>
      </c>
      <c r="F67" s="1">
        <v>1.3583778422325801</v>
      </c>
      <c r="G67" s="1">
        <v>7.9607481194101201E-2</v>
      </c>
      <c r="H67" s="1">
        <v>7.5487740635871798</v>
      </c>
      <c r="I67" s="1">
        <v>35.651485878042799</v>
      </c>
      <c r="J67" s="1">
        <v>2.7604385958984398E-4</v>
      </c>
      <c r="K67" s="1">
        <v>0.1542</v>
      </c>
      <c r="L67" s="1">
        <v>0.31390000000000001</v>
      </c>
      <c r="M67" s="1">
        <v>0.18149999999999999</v>
      </c>
    </row>
    <row r="68" spans="1:13" x14ac:dyDescent="0.2">
      <c r="A68" s="1" t="s">
        <v>86</v>
      </c>
      <c r="B68" s="1">
        <v>16</v>
      </c>
      <c r="C68" s="1" t="s">
        <v>89</v>
      </c>
      <c r="D68" s="1">
        <v>1</v>
      </c>
      <c r="E68" s="1">
        <v>45.610725628212002</v>
      </c>
      <c r="F68" s="1">
        <v>1.3583778422325801</v>
      </c>
      <c r="G68" s="1">
        <v>7.9607481194101201E-2</v>
      </c>
      <c r="H68" s="1">
        <v>7.5487740635871798</v>
      </c>
      <c r="I68" s="1">
        <v>35.651485878042799</v>
      </c>
      <c r="J68" s="1">
        <v>2.7604385958984398E-4</v>
      </c>
      <c r="K68" s="1">
        <v>0.22339999999999999</v>
      </c>
      <c r="L68" s="1">
        <v>0.45829999999999999</v>
      </c>
      <c r="M68" s="1">
        <v>0.19239999999999999</v>
      </c>
    </row>
    <row r="69" spans="1:13" x14ac:dyDescent="0.2">
      <c r="A69" s="1" t="s">
        <v>86</v>
      </c>
      <c r="B69" s="1">
        <v>16</v>
      </c>
      <c r="C69" s="1" t="s">
        <v>90</v>
      </c>
      <c r="D69" s="1">
        <v>1</v>
      </c>
      <c r="E69" s="1">
        <v>45.610725628212002</v>
      </c>
      <c r="F69" s="1">
        <v>1.3583778422325801</v>
      </c>
      <c r="G69" s="1">
        <v>7.9607481194101201E-2</v>
      </c>
      <c r="H69" s="1">
        <v>7.5487740635871798</v>
      </c>
      <c r="I69" s="1">
        <v>35.651485878042799</v>
      </c>
      <c r="J69" s="1">
        <v>2.7604385958984398E-4</v>
      </c>
      <c r="K69" s="1">
        <v>0.13039999999999999</v>
      </c>
      <c r="L69" s="1">
        <v>0.25679999999999997</v>
      </c>
      <c r="M69" s="1">
        <v>0.19259999999999999</v>
      </c>
    </row>
    <row r="70" spans="1:13" x14ac:dyDescent="0.2">
      <c r="A70" s="1" t="s">
        <v>91</v>
      </c>
      <c r="B70" s="1">
        <v>17</v>
      </c>
      <c r="C70" s="1" t="s">
        <v>92</v>
      </c>
      <c r="D70" s="1">
        <v>1</v>
      </c>
      <c r="E70" s="1">
        <v>24.875612894538701</v>
      </c>
      <c r="F70" s="1">
        <v>54.082497013732699</v>
      </c>
      <c r="G70" s="1">
        <v>1.00065506570041E-2</v>
      </c>
      <c r="H70" s="1">
        <v>62.826629596203503</v>
      </c>
      <c r="I70" s="1">
        <v>50.883297999389399</v>
      </c>
      <c r="J70" s="1">
        <v>4.7161277094390202E-3</v>
      </c>
      <c r="K70" s="1">
        <v>0.1661</v>
      </c>
      <c r="L70" s="1">
        <v>0.51339999999999997</v>
      </c>
      <c r="M70" s="1">
        <v>0.29149999999999998</v>
      </c>
    </row>
    <row r="71" spans="1:13" x14ac:dyDescent="0.2">
      <c r="A71" s="1" t="s">
        <v>91</v>
      </c>
      <c r="B71" s="1">
        <v>17</v>
      </c>
      <c r="C71" s="1" t="s">
        <v>93</v>
      </c>
      <c r="D71" s="1">
        <v>1</v>
      </c>
      <c r="E71" s="1">
        <v>24.875612894538701</v>
      </c>
      <c r="F71" s="1">
        <v>54.082497013732699</v>
      </c>
      <c r="G71" s="1">
        <v>1.00065506570041E-2</v>
      </c>
      <c r="H71" s="1">
        <v>62.826629596203503</v>
      </c>
      <c r="I71" s="1">
        <v>50.883297999389399</v>
      </c>
      <c r="J71" s="1">
        <v>4.7161277094390202E-3</v>
      </c>
      <c r="K71" s="1">
        <v>0.29010000000000002</v>
      </c>
      <c r="L71" s="1">
        <v>0.2445</v>
      </c>
      <c r="M71" s="1">
        <v>0.28110000000000002</v>
      </c>
    </row>
    <row r="72" spans="1:13" x14ac:dyDescent="0.2">
      <c r="A72" s="1" t="s">
        <v>91</v>
      </c>
      <c r="B72" s="1">
        <v>17</v>
      </c>
      <c r="C72" s="1" t="s">
        <v>94</v>
      </c>
      <c r="D72" s="1">
        <v>1</v>
      </c>
      <c r="E72" s="1">
        <v>24.875612894538701</v>
      </c>
      <c r="F72" s="1">
        <v>54.082497013732699</v>
      </c>
      <c r="G72" s="1">
        <v>1.00065506570041E-2</v>
      </c>
      <c r="H72" s="1">
        <v>62.826629596203503</v>
      </c>
      <c r="I72" s="1">
        <v>50.883297999389399</v>
      </c>
      <c r="J72" s="1">
        <v>4.7161277094390202E-3</v>
      </c>
      <c r="K72" s="1">
        <v>0.56430000000000002</v>
      </c>
      <c r="L72" s="1">
        <v>0.23449999999999999</v>
      </c>
      <c r="M72" s="1">
        <v>0.3135</v>
      </c>
    </row>
    <row r="73" spans="1:13" x14ac:dyDescent="0.2">
      <c r="A73" s="1" t="s">
        <v>91</v>
      </c>
      <c r="B73" s="1">
        <v>17</v>
      </c>
      <c r="C73" s="1" t="s">
        <v>95</v>
      </c>
      <c r="D73" s="1">
        <v>1</v>
      </c>
      <c r="E73" s="1">
        <v>24.875612894538701</v>
      </c>
      <c r="F73" s="1">
        <v>54.082497013732699</v>
      </c>
      <c r="G73" s="1">
        <v>1.00065506570041E-2</v>
      </c>
      <c r="H73" s="1">
        <v>62.826629596203503</v>
      </c>
      <c r="I73" s="1">
        <v>50.883297999389399</v>
      </c>
      <c r="J73" s="1">
        <v>4.7161277094390202E-3</v>
      </c>
      <c r="K73" s="1">
        <v>0.1618</v>
      </c>
      <c r="L73" s="1">
        <v>0.62039999999999995</v>
      </c>
      <c r="M73" s="1">
        <v>0.28420000000000001</v>
      </c>
    </row>
    <row r="74" spans="1:13" x14ac:dyDescent="0.2">
      <c r="A74" s="1" t="s">
        <v>96</v>
      </c>
      <c r="B74" s="1">
        <v>18</v>
      </c>
      <c r="C74" s="1" t="s">
        <v>97</v>
      </c>
      <c r="D74" s="1">
        <v>1</v>
      </c>
      <c r="E74" s="1">
        <v>49.880894555710199</v>
      </c>
      <c r="F74" s="1">
        <v>27.548371213488199</v>
      </c>
      <c r="G74" s="1">
        <v>8.00933580473065E-4</v>
      </c>
      <c r="H74" s="1">
        <v>35.300557237118397</v>
      </c>
      <c r="I74" s="1">
        <v>100.04281359258999</v>
      </c>
      <c r="J74" s="1">
        <v>3.6647611634805797E-3</v>
      </c>
      <c r="K74" s="1">
        <v>0.15909999999999999</v>
      </c>
      <c r="L74" s="1">
        <v>0.75609999999999999</v>
      </c>
      <c r="M74" s="1">
        <v>0.11169999999999999</v>
      </c>
    </row>
    <row r="75" spans="1:13" x14ac:dyDescent="0.2">
      <c r="A75" s="1" t="s">
        <v>96</v>
      </c>
      <c r="B75" s="1">
        <v>18</v>
      </c>
      <c r="C75" s="1" t="s">
        <v>98</v>
      </c>
      <c r="D75" s="1">
        <v>1</v>
      </c>
      <c r="E75" s="1">
        <v>49.880894555710199</v>
      </c>
      <c r="F75" s="1">
        <v>27.548371213488199</v>
      </c>
      <c r="G75" s="1">
        <v>8.00933580473065E-4</v>
      </c>
      <c r="H75" s="1">
        <v>35.300557237118397</v>
      </c>
      <c r="I75" s="1">
        <v>100.04281359258999</v>
      </c>
      <c r="J75" s="1">
        <v>3.6647611634805797E-3</v>
      </c>
      <c r="K75" s="1">
        <v>0.1225</v>
      </c>
      <c r="L75" s="1">
        <v>0.27500000000000002</v>
      </c>
      <c r="M75" s="1">
        <v>0.44429999999999997</v>
      </c>
    </row>
    <row r="76" spans="1:13" x14ac:dyDescent="0.2">
      <c r="A76" s="1" t="s">
        <v>96</v>
      </c>
      <c r="B76" s="1">
        <v>18</v>
      </c>
      <c r="C76" s="1" t="s">
        <v>99</v>
      </c>
      <c r="D76" s="1">
        <v>1</v>
      </c>
      <c r="E76" s="1">
        <v>49.880894555710199</v>
      </c>
      <c r="F76" s="1">
        <v>27.548371213488199</v>
      </c>
      <c r="G76" s="1">
        <v>8.00933580473065E-4</v>
      </c>
      <c r="H76" s="1">
        <v>35.300557237118397</v>
      </c>
      <c r="I76" s="1">
        <v>100.04281359258999</v>
      </c>
      <c r="J76" s="1">
        <v>3.6647611634805797E-3</v>
      </c>
      <c r="K76" s="1">
        <v>0.15190000000000001</v>
      </c>
      <c r="L76" s="1">
        <v>0.2732</v>
      </c>
      <c r="M76" s="1">
        <v>0.1447</v>
      </c>
    </row>
    <row r="77" spans="1:13" x14ac:dyDescent="0.2">
      <c r="A77" s="1" t="s">
        <v>96</v>
      </c>
      <c r="B77" s="1">
        <v>18</v>
      </c>
      <c r="C77" s="1" t="s">
        <v>100</v>
      </c>
      <c r="D77" s="1">
        <v>1</v>
      </c>
      <c r="E77" s="1">
        <v>49.880894555710199</v>
      </c>
      <c r="F77" s="1">
        <v>27.548371213488199</v>
      </c>
      <c r="G77" s="1">
        <v>8.00933580473065E-4</v>
      </c>
      <c r="H77" s="1">
        <v>35.300557237118397</v>
      </c>
      <c r="I77" s="1">
        <v>100.04281359258999</v>
      </c>
      <c r="J77" s="1">
        <v>3.6647611634805797E-3</v>
      </c>
      <c r="K77" s="1">
        <v>0.1721</v>
      </c>
      <c r="L77" s="1">
        <v>0.26690000000000003</v>
      </c>
      <c r="M77" s="1">
        <v>0.19009999999999999</v>
      </c>
    </row>
    <row r="78" spans="1:13" x14ac:dyDescent="0.2">
      <c r="A78" s="1" t="s">
        <v>101</v>
      </c>
      <c r="B78" s="1">
        <v>19</v>
      </c>
      <c r="C78" s="1" t="s">
        <v>102</v>
      </c>
      <c r="D78" s="1">
        <v>1</v>
      </c>
      <c r="E78" s="1">
        <v>30.547811273951002</v>
      </c>
      <c r="F78" s="1">
        <v>26.157160803675598</v>
      </c>
      <c r="G78" s="1">
        <v>1.2526160190626899E-2</v>
      </c>
      <c r="H78" s="1">
        <v>89.542027907073503</v>
      </c>
      <c r="I78" s="1">
        <v>85.782927148975403</v>
      </c>
      <c r="J78" s="1">
        <v>4.5680302528198803E-3</v>
      </c>
      <c r="K78" s="1">
        <v>0.16300000000000001</v>
      </c>
      <c r="L78" s="1">
        <v>0.43940000000000001</v>
      </c>
      <c r="M78" s="1">
        <v>0.33900000000000002</v>
      </c>
    </row>
    <row r="79" spans="1:13" x14ac:dyDescent="0.2">
      <c r="A79" s="1" t="s">
        <v>101</v>
      </c>
      <c r="B79" s="1">
        <v>19</v>
      </c>
      <c r="C79" s="1" t="s">
        <v>103</v>
      </c>
      <c r="D79" s="1">
        <v>1</v>
      </c>
      <c r="E79" s="1">
        <v>30.547811273951002</v>
      </c>
      <c r="F79" s="1">
        <v>26.157160803675598</v>
      </c>
      <c r="G79" s="1">
        <v>1.2526160190626899E-2</v>
      </c>
      <c r="H79" s="1">
        <v>89.542027907073503</v>
      </c>
      <c r="I79" s="1">
        <v>85.782927148975403</v>
      </c>
      <c r="J79" s="1">
        <v>4.5680302528198803E-3</v>
      </c>
      <c r="K79" s="1">
        <v>0.16639999999999999</v>
      </c>
      <c r="L79" s="1">
        <v>0.24060000000000001</v>
      </c>
      <c r="M79" s="1">
        <v>0.30690000000000001</v>
      </c>
    </row>
    <row r="80" spans="1:13" x14ac:dyDescent="0.2">
      <c r="A80" s="1" t="s">
        <v>101</v>
      </c>
      <c r="B80" s="1">
        <v>19</v>
      </c>
      <c r="C80" s="1" t="s">
        <v>104</v>
      </c>
      <c r="D80" s="1">
        <v>1</v>
      </c>
      <c r="E80" s="1">
        <v>30.547811273951002</v>
      </c>
      <c r="F80" s="1">
        <v>26.157160803675598</v>
      </c>
      <c r="G80" s="1">
        <v>1.2526160190626899E-2</v>
      </c>
      <c r="H80" s="1">
        <v>89.542027907073503</v>
      </c>
      <c r="I80" s="1">
        <v>85.782927148975403</v>
      </c>
      <c r="J80" s="1">
        <v>4.5680302528198803E-3</v>
      </c>
      <c r="K80" s="1">
        <v>0.1389</v>
      </c>
      <c r="L80" s="1">
        <v>0.24179999999999999</v>
      </c>
      <c r="M80" s="1">
        <v>0.24279999999999999</v>
      </c>
    </row>
    <row r="81" spans="1:13" x14ac:dyDescent="0.2">
      <c r="A81" s="1" t="s">
        <v>101</v>
      </c>
      <c r="B81" s="1">
        <v>19</v>
      </c>
      <c r="C81" s="1" t="s">
        <v>105</v>
      </c>
      <c r="D81" s="1">
        <v>1</v>
      </c>
      <c r="E81" s="1">
        <v>30.547811273951002</v>
      </c>
      <c r="F81" s="1">
        <v>26.157160803675598</v>
      </c>
      <c r="G81" s="1">
        <v>1.2526160190626899E-2</v>
      </c>
      <c r="H81" s="1">
        <v>89.542027907073503</v>
      </c>
      <c r="I81" s="1">
        <v>85.782927148975403</v>
      </c>
      <c r="J81" s="1">
        <v>4.5680302528198803E-3</v>
      </c>
      <c r="K81" s="1">
        <v>0.1439</v>
      </c>
      <c r="L81" s="1">
        <v>0.2445</v>
      </c>
      <c r="M81" s="1">
        <v>0.23369999999999999</v>
      </c>
    </row>
    <row r="82" spans="1:13" x14ac:dyDescent="0.2">
      <c r="A82" s="1" t="s">
        <v>106</v>
      </c>
      <c r="B82" s="1">
        <v>20</v>
      </c>
      <c r="C82" s="1" t="s">
        <v>107</v>
      </c>
      <c r="D82" s="1">
        <v>1</v>
      </c>
      <c r="E82" s="1">
        <v>3.8918015542440099</v>
      </c>
      <c r="F82" s="1">
        <v>84.962482070550294</v>
      </c>
      <c r="G82" s="1">
        <v>7.2679427972063395E-3</v>
      </c>
      <c r="H82" s="1">
        <v>141.338468691706</v>
      </c>
      <c r="I82" s="1">
        <v>72.434541117399903</v>
      </c>
      <c r="J82" s="1">
        <v>4.9350823682267203E-3</v>
      </c>
      <c r="K82" s="1">
        <v>0.1106</v>
      </c>
      <c r="L82" s="1">
        <v>7.7600000000000002E-2</v>
      </c>
      <c r="M82" s="1">
        <v>0.17710000000000001</v>
      </c>
    </row>
    <row r="83" spans="1:13" x14ac:dyDescent="0.2">
      <c r="A83" s="1" t="s">
        <v>106</v>
      </c>
      <c r="B83" s="1">
        <v>20</v>
      </c>
      <c r="C83" s="1" t="s">
        <v>108</v>
      </c>
      <c r="D83" s="1">
        <v>1</v>
      </c>
      <c r="E83" s="1">
        <v>3.8918015542440099</v>
      </c>
      <c r="F83" s="1">
        <v>84.962482070550294</v>
      </c>
      <c r="G83" s="1">
        <v>7.2679427972063395E-3</v>
      </c>
      <c r="H83" s="1">
        <v>141.338468691706</v>
      </c>
      <c r="I83" s="1">
        <v>72.434541117399903</v>
      </c>
      <c r="J83" s="1">
        <v>4.9350823682267203E-3</v>
      </c>
      <c r="K83" s="1">
        <v>0.1077</v>
      </c>
      <c r="L83" s="1">
        <v>7.7299999999999994E-2</v>
      </c>
      <c r="M83" s="1">
        <v>0.1946</v>
      </c>
    </row>
    <row r="84" spans="1:13" x14ac:dyDescent="0.2">
      <c r="A84" s="1" t="s">
        <v>106</v>
      </c>
      <c r="B84" s="1">
        <v>20</v>
      </c>
      <c r="C84" s="1" t="s">
        <v>109</v>
      </c>
      <c r="D84" s="1">
        <v>1</v>
      </c>
      <c r="E84" s="1">
        <v>3.8918015542440099</v>
      </c>
      <c r="F84" s="1">
        <v>84.962482070550294</v>
      </c>
      <c r="G84" s="1">
        <v>7.2679427972063395E-3</v>
      </c>
      <c r="H84" s="1">
        <v>141.338468691706</v>
      </c>
      <c r="I84" s="1">
        <v>72.434541117399903</v>
      </c>
      <c r="J84" s="1">
        <v>4.9350823682267203E-3</v>
      </c>
      <c r="K84" s="1">
        <v>0.1188</v>
      </c>
      <c r="L84" s="1">
        <v>7.9899999999999999E-2</v>
      </c>
      <c r="M84" s="1">
        <v>0.18870000000000001</v>
      </c>
    </row>
    <row r="85" spans="1:13" x14ac:dyDescent="0.2">
      <c r="A85" s="1" t="s">
        <v>106</v>
      </c>
      <c r="B85" s="1">
        <v>20</v>
      </c>
      <c r="C85" s="1" t="s">
        <v>110</v>
      </c>
      <c r="D85" s="1">
        <v>1</v>
      </c>
      <c r="E85" s="1">
        <v>3.8918015542440099</v>
      </c>
      <c r="F85" s="1">
        <v>84.962482070550294</v>
      </c>
      <c r="G85" s="1">
        <v>7.2679427972063395E-3</v>
      </c>
      <c r="H85" s="1">
        <v>141.338468691706</v>
      </c>
      <c r="I85" s="1">
        <v>72.434541117399903</v>
      </c>
      <c r="J85" s="1">
        <v>4.9350823682267203E-3</v>
      </c>
      <c r="K85" s="1">
        <v>0.12239999999999999</v>
      </c>
      <c r="L85" s="1">
        <v>8.0600000000000005E-2</v>
      </c>
      <c r="M85" s="1">
        <v>0.14069999999999999</v>
      </c>
    </row>
    <row r="86" spans="1:13" x14ac:dyDescent="0.2">
      <c r="A86" s="1" t="s">
        <v>111</v>
      </c>
      <c r="B86" s="1">
        <v>21</v>
      </c>
      <c r="C86" s="1" t="s">
        <v>112</v>
      </c>
      <c r="D86" s="1">
        <v>1</v>
      </c>
      <c r="E86" s="1">
        <v>33.074030220974201</v>
      </c>
      <c r="F86" s="1">
        <v>1.85206396784633</v>
      </c>
      <c r="G86" s="1">
        <v>9.9795039771869695E-2</v>
      </c>
      <c r="H86" s="1">
        <v>56.9683104306459</v>
      </c>
      <c r="I86" s="1">
        <v>95.746255600824895</v>
      </c>
      <c r="J86" s="1">
        <v>7.2256340757012301E-4</v>
      </c>
      <c r="K86" s="1">
        <v>0.151</v>
      </c>
      <c r="L86" s="1">
        <v>0.36580000000000001</v>
      </c>
      <c r="M86" s="1">
        <v>0.35720000000000002</v>
      </c>
    </row>
    <row r="87" spans="1:13" x14ac:dyDescent="0.2">
      <c r="A87" s="1" t="s">
        <v>111</v>
      </c>
      <c r="B87" s="1">
        <v>21</v>
      </c>
      <c r="C87" s="1" t="s">
        <v>113</v>
      </c>
      <c r="D87" s="1">
        <v>1</v>
      </c>
      <c r="E87" s="1">
        <v>33.074030220974201</v>
      </c>
      <c r="F87" s="1">
        <v>1.85206396784633</v>
      </c>
      <c r="G87" s="1">
        <v>9.9795039771869695E-2</v>
      </c>
      <c r="H87" s="1">
        <v>56.9683104306459</v>
      </c>
      <c r="I87" s="1">
        <v>95.746255600824895</v>
      </c>
      <c r="J87" s="1">
        <v>7.2256340757012301E-4</v>
      </c>
      <c r="K87" s="1">
        <v>0.2147</v>
      </c>
      <c r="L87" s="1">
        <v>0.52490000000000003</v>
      </c>
      <c r="M87" s="1">
        <v>0.3654</v>
      </c>
    </row>
    <row r="88" spans="1:13" x14ac:dyDescent="0.2">
      <c r="A88" s="1" t="s">
        <v>111</v>
      </c>
      <c r="B88" s="1">
        <v>21</v>
      </c>
      <c r="C88" s="1" t="s">
        <v>114</v>
      </c>
      <c r="D88" s="1">
        <v>1</v>
      </c>
      <c r="E88" s="1">
        <v>33.074030220974201</v>
      </c>
      <c r="F88" s="1">
        <v>1.85206396784633</v>
      </c>
      <c r="G88" s="1">
        <v>9.9795039771869695E-2</v>
      </c>
      <c r="H88" s="1">
        <v>56.9683104306459</v>
      </c>
      <c r="I88" s="1">
        <v>95.746255600824895</v>
      </c>
      <c r="J88" s="1">
        <v>7.2256340757012301E-4</v>
      </c>
      <c r="K88" s="1">
        <v>0.192</v>
      </c>
      <c r="L88" s="1">
        <v>0.45369999999999999</v>
      </c>
      <c r="M88" s="1">
        <v>0.34910000000000002</v>
      </c>
    </row>
    <row r="89" spans="1:13" x14ac:dyDescent="0.2">
      <c r="A89" s="1" t="s">
        <v>111</v>
      </c>
      <c r="B89" s="1">
        <v>21</v>
      </c>
      <c r="C89" s="1" t="s">
        <v>115</v>
      </c>
      <c r="D89" s="1">
        <v>1</v>
      </c>
      <c r="E89" s="1">
        <v>33.074030220974201</v>
      </c>
      <c r="F89" s="1">
        <v>1.85206396784633</v>
      </c>
      <c r="G89" s="1">
        <v>9.9795039771869695E-2</v>
      </c>
      <c r="H89" s="1">
        <v>56.9683104306459</v>
      </c>
      <c r="I89" s="1">
        <v>95.746255600824895</v>
      </c>
      <c r="J89" s="1">
        <v>7.2256340757012301E-4</v>
      </c>
      <c r="K89" s="1">
        <v>0.19969999999999999</v>
      </c>
      <c r="L89" s="1">
        <v>0.52510000000000001</v>
      </c>
      <c r="M89" s="1">
        <v>0.31709999999999999</v>
      </c>
    </row>
    <row r="90" spans="1:13" x14ac:dyDescent="0.2">
      <c r="A90" s="1" t="s">
        <v>116</v>
      </c>
      <c r="B90" s="1">
        <v>22</v>
      </c>
      <c r="C90" s="1" t="s">
        <v>117</v>
      </c>
      <c r="D90" s="1">
        <v>1</v>
      </c>
      <c r="E90" s="1">
        <v>47.099800277035598</v>
      </c>
      <c r="F90" s="1">
        <v>74.186567970551494</v>
      </c>
      <c r="G90" s="1">
        <v>1.82633389744907E-2</v>
      </c>
      <c r="H90" s="1">
        <v>103.751841845363</v>
      </c>
      <c r="I90" s="1">
        <v>105.44472014531399</v>
      </c>
      <c r="J90" s="1">
        <v>7.01183744147419E-4</v>
      </c>
      <c r="K90" s="1">
        <v>0.1057</v>
      </c>
      <c r="L90" s="1">
        <v>8.1100000000000005E-2</v>
      </c>
      <c r="M90" s="1">
        <v>0.14349999999999999</v>
      </c>
    </row>
    <row r="91" spans="1:13" x14ac:dyDescent="0.2">
      <c r="A91" s="1" t="s">
        <v>116</v>
      </c>
      <c r="B91" s="1">
        <v>22</v>
      </c>
      <c r="C91" s="1" t="s">
        <v>118</v>
      </c>
      <c r="D91" s="1">
        <v>1</v>
      </c>
      <c r="E91" s="1">
        <v>47.099800277035598</v>
      </c>
      <c r="F91" s="1">
        <v>74.186567970551494</v>
      </c>
      <c r="G91" s="1">
        <v>1.82633389744907E-2</v>
      </c>
      <c r="H91" s="1">
        <v>103.751841845363</v>
      </c>
      <c r="I91" s="1">
        <v>105.44472014531399</v>
      </c>
      <c r="J91" s="1">
        <v>7.01183744147419E-4</v>
      </c>
      <c r="K91" s="1">
        <v>0.1153</v>
      </c>
      <c r="L91" s="1">
        <v>0.18640000000000001</v>
      </c>
      <c r="M91" s="1">
        <v>0.1404</v>
      </c>
    </row>
    <row r="92" spans="1:13" x14ac:dyDescent="0.2">
      <c r="A92" s="1" t="s">
        <v>116</v>
      </c>
      <c r="B92" s="1">
        <v>22</v>
      </c>
      <c r="C92" s="1" t="s">
        <v>119</v>
      </c>
      <c r="D92" s="1">
        <v>1</v>
      </c>
      <c r="E92" s="1">
        <v>47.099800277035598</v>
      </c>
      <c r="F92" s="1">
        <v>74.186567970551494</v>
      </c>
      <c r="G92" s="1">
        <v>1.82633389744907E-2</v>
      </c>
      <c r="H92" s="1">
        <v>103.751841845363</v>
      </c>
      <c r="I92" s="1">
        <v>105.44472014531399</v>
      </c>
      <c r="J92" s="1">
        <v>7.01183744147419E-4</v>
      </c>
      <c r="K92" s="1">
        <v>0.1232</v>
      </c>
      <c r="L92" s="1">
        <v>0.17549999999999999</v>
      </c>
      <c r="M92" s="1">
        <v>0.16669999999999999</v>
      </c>
    </row>
    <row r="93" spans="1:13" x14ac:dyDescent="0.2">
      <c r="A93" s="1" t="s">
        <v>116</v>
      </c>
      <c r="B93" s="1">
        <v>22</v>
      </c>
      <c r="C93" s="1" t="s">
        <v>120</v>
      </c>
      <c r="D93" s="1">
        <v>1</v>
      </c>
      <c r="E93" s="1">
        <v>47.099800277035598</v>
      </c>
      <c r="F93" s="1">
        <v>74.186567970551494</v>
      </c>
      <c r="G93" s="1">
        <v>1.82633389744907E-2</v>
      </c>
      <c r="H93" s="1">
        <v>103.751841845363</v>
      </c>
      <c r="I93" s="1">
        <v>105.44472014531399</v>
      </c>
      <c r="J93" s="1">
        <v>7.01183744147419E-4</v>
      </c>
      <c r="K93" s="1">
        <v>0.1206</v>
      </c>
      <c r="L93" s="1">
        <v>0.17899999999999999</v>
      </c>
      <c r="M93" s="1">
        <v>0.15479999999999999</v>
      </c>
    </row>
    <row r="94" spans="1:13" x14ac:dyDescent="0.2">
      <c r="A94" s="1" t="s">
        <v>121</v>
      </c>
      <c r="B94" s="1">
        <v>23</v>
      </c>
      <c r="C94" s="1" t="s">
        <v>122</v>
      </c>
      <c r="D94" s="1">
        <v>1</v>
      </c>
      <c r="E94" s="1">
        <v>15.193351293914001</v>
      </c>
      <c r="F94" s="1">
        <v>50.6803980441764</v>
      </c>
      <c r="G94" s="1">
        <v>1.5697079475223998E-2</v>
      </c>
      <c r="H94" s="1">
        <v>36.8717679485678</v>
      </c>
      <c r="I94" s="1">
        <v>109.78890612255699</v>
      </c>
      <c r="J94" s="1">
        <v>1.2585004133637899E-3</v>
      </c>
      <c r="K94" s="1">
        <v>0.127</v>
      </c>
      <c r="L94" s="1">
        <v>0.51549999999999996</v>
      </c>
      <c r="M94" s="1">
        <v>0.2283</v>
      </c>
    </row>
    <row r="95" spans="1:13" x14ac:dyDescent="0.2">
      <c r="A95" s="1" t="s">
        <v>121</v>
      </c>
      <c r="B95" s="1">
        <v>23</v>
      </c>
      <c r="C95" s="1" t="s">
        <v>123</v>
      </c>
      <c r="D95" s="1">
        <v>1</v>
      </c>
      <c r="E95" s="1">
        <v>15.193351293914001</v>
      </c>
      <c r="F95" s="1">
        <v>50.6803980441764</v>
      </c>
      <c r="G95" s="1">
        <v>1.5697079475223998E-2</v>
      </c>
      <c r="H95" s="1">
        <v>36.8717679485678</v>
      </c>
      <c r="I95" s="1">
        <v>109.78890612255699</v>
      </c>
      <c r="J95" s="1">
        <v>1.2585004133637899E-3</v>
      </c>
      <c r="K95" s="1">
        <v>0.1852</v>
      </c>
      <c r="L95" s="1">
        <v>0.30780000000000002</v>
      </c>
      <c r="M95" s="1">
        <v>0.2848</v>
      </c>
    </row>
    <row r="96" spans="1:13" x14ac:dyDescent="0.2">
      <c r="A96" s="1" t="s">
        <v>121</v>
      </c>
      <c r="B96" s="1">
        <v>23</v>
      </c>
      <c r="C96" s="1" t="s">
        <v>124</v>
      </c>
      <c r="D96" s="1">
        <v>1</v>
      </c>
      <c r="E96" s="1">
        <v>15.193351293914001</v>
      </c>
      <c r="F96" s="1">
        <v>50.6803980441764</v>
      </c>
      <c r="G96" s="1">
        <v>1.5697079475223998E-2</v>
      </c>
      <c r="H96" s="1">
        <v>36.8717679485678</v>
      </c>
      <c r="I96" s="1">
        <v>109.78890612255699</v>
      </c>
      <c r="J96" s="1">
        <v>1.2585004133637899E-3</v>
      </c>
      <c r="K96" s="1">
        <v>0.19980000000000001</v>
      </c>
      <c r="L96" s="1">
        <v>0.30740000000000001</v>
      </c>
      <c r="M96" s="1">
        <v>0.2752</v>
      </c>
    </row>
    <row r="97" spans="1:13" x14ac:dyDescent="0.2">
      <c r="A97" s="3" t="s">
        <v>121</v>
      </c>
      <c r="B97" s="3">
        <v>23</v>
      </c>
      <c r="C97" s="3" t="s">
        <v>125</v>
      </c>
      <c r="D97" s="1">
        <v>1</v>
      </c>
      <c r="E97" s="1">
        <v>15.193351293914001</v>
      </c>
      <c r="F97" s="1">
        <v>50.6803980441764</v>
      </c>
      <c r="G97" s="1">
        <v>1.5697079475223998E-2</v>
      </c>
      <c r="H97" s="1">
        <v>36.8717679485678</v>
      </c>
      <c r="I97" s="1">
        <v>109.78890612255699</v>
      </c>
      <c r="J97" s="1">
        <v>1.2585004133637899E-3</v>
      </c>
      <c r="K97" s="1">
        <v>0.1981</v>
      </c>
      <c r="L97" s="1">
        <v>0.3543</v>
      </c>
      <c r="M97" s="1">
        <v>0.30230000000000001</v>
      </c>
    </row>
    <row r="98" spans="1:13" x14ac:dyDescent="0.2">
      <c r="A98" s="1" t="s">
        <v>179</v>
      </c>
      <c r="B98" s="1">
        <v>0</v>
      </c>
      <c r="C98" s="1" t="s">
        <v>7</v>
      </c>
      <c r="D98" s="1">
        <v>2</v>
      </c>
      <c r="E98" s="1">
        <v>25</v>
      </c>
      <c r="F98" s="1">
        <v>50</v>
      </c>
      <c r="G98" s="1">
        <v>1E-3</v>
      </c>
      <c r="H98" s="1">
        <v>15</v>
      </c>
      <c r="I98" s="1">
        <v>125</v>
      </c>
      <c r="J98" s="1">
        <v>1E-3</v>
      </c>
      <c r="K98" s="2">
        <v>0.16880000000000001</v>
      </c>
      <c r="L98" s="1">
        <v>0.49930000000000002</v>
      </c>
      <c r="M98" s="1">
        <v>0.3095</v>
      </c>
    </row>
    <row r="99" spans="1:13" x14ac:dyDescent="0.2">
      <c r="A99" s="1" t="s">
        <v>179</v>
      </c>
      <c r="B99" s="1">
        <v>0</v>
      </c>
      <c r="C99" s="1" t="s">
        <v>8</v>
      </c>
      <c r="D99" s="1">
        <v>2</v>
      </c>
      <c r="E99" s="1">
        <v>25</v>
      </c>
      <c r="F99" s="1">
        <v>50</v>
      </c>
      <c r="G99" s="1">
        <v>1E-3</v>
      </c>
      <c r="H99" s="1">
        <v>15</v>
      </c>
      <c r="I99" s="1">
        <v>125</v>
      </c>
      <c r="J99" s="1">
        <v>1E-3</v>
      </c>
      <c r="K99" s="2">
        <v>0.1148</v>
      </c>
      <c r="L99" s="1">
        <v>0.1331</v>
      </c>
      <c r="M99" s="1">
        <v>0.28560000000000002</v>
      </c>
    </row>
    <row r="100" spans="1:13" x14ac:dyDescent="0.2">
      <c r="A100" s="1" t="s">
        <v>179</v>
      </c>
      <c r="B100" s="1">
        <v>0</v>
      </c>
      <c r="C100" s="1" t="s">
        <v>9</v>
      </c>
      <c r="D100" s="1">
        <v>2</v>
      </c>
      <c r="E100" s="1">
        <v>25</v>
      </c>
      <c r="F100" s="1">
        <v>50</v>
      </c>
      <c r="G100" s="1">
        <v>1E-3</v>
      </c>
      <c r="H100" s="1">
        <v>15</v>
      </c>
      <c r="I100" s="1">
        <v>125</v>
      </c>
      <c r="J100" s="1">
        <v>1E-3</v>
      </c>
      <c r="K100" s="2">
        <v>0.13150000000000001</v>
      </c>
      <c r="L100" s="1">
        <v>0.12379999999999999</v>
      </c>
      <c r="M100" s="1">
        <v>0.29709999999999998</v>
      </c>
    </row>
    <row r="101" spans="1:13" x14ac:dyDescent="0.2">
      <c r="A101" s="1" t="s">
        <v>179</v>
      </c>
      <c r="B101" s="1">
        <v>0</v>
      </c>
      <c r="C101" s="1" t="s">
        <v>10</v>
      </c>
      <c r="D101" s="1">
        <v>2</v>
      </c>
      <c r="E101" s="1">
        <v>25</v>
      </c>
      <c r="F101" s="1">
        <v>50</v>
      </c>
      <c r="G101" s="1">
        <v>1E-3</v>
      </c>
      <c r="H101" s="1">
        <v>15</v>
      </c>
      <c r="I101" s="1">
        <v>125</v>
      </c>
      <c r="J101" s="1">
        <v>1E-3</v>
      </c>
      <c r="K101" s="2">
        <v>0.13350000000000001</v>
      </c>
      <c r="L101" s="1">
        <v>0.1507</v>
      </c>
      <c r="M101" s="1">
        <v>0.31540000000000001</v>
      </c>
    </row>
    <row r="102" spans="1:13" x14ac:dyDescent="0.2">
      <c r="A102" s="1" t="s">
        <v>129</v>
      </c>
      <c r="B102" s="1">
        <v>24</v>
      </c>
      <c r="C102" s="1" t="s">
        <v>12</v>
      </c>
      <c r="D102" s="1">
        <v>2</v>
      </c>
      <c r="E102" s="1">
        <v>14.436907670926299</v>
      </c>
      <c r="F102" s="1">
        <v>60.936771862208801</v>
      </c>
      <c r="G102" s="1">
        <v>5.6644828807003701E-2</v>
      </c>
      <c r="H102" s="1">
        <v>135.02004260197199</v>
      </c>
      <c r="I102" s="1">
        <v>20.677809552289499</v>
      </c>
      <c r="J102" s="1">
        <v>3.5860760239884201E-4</v>
      </c>
      <c r="K102" s="2">
        <v>0.27450000000000002</v>
      </c>
      <c r="L102" s="1">
        <v>0.26529999999999998</v>
      </c>
      <c r="M102" s="1">
        <v>0.16109999999999999</v>
      </c>
    </row>
    <row r="103" spans="1:13" x14ac:dyDescent="0.2">
      <c r="A103" s="1" t="s">
        <v>129</v>
      </c>
      <c r="B103" s="1">
        <v>24</v>
      </c>
      <c r="C103" s="1" t="s">
        <v>13</v>
      </c>
      <c r="D103" s="1">
        <v>2</v>
      </c>
      <c r="E103" s="1">
        <v>14.436907670926299</v>
      </c>
      <c r="F103" s="1">
        <v>60.936771862208801</v>
      </c>
      <c r="G103" s="1">
        <v>5.6644828807003701E-2</v>
      </c>
      <c r="H103" s="1">
        <v>135.02004260197199</v>
      </c>
      <c r="I103" s="1">
        <v>20.677809552289499</v>
      </c>
      <c r="J103" s="1">
        <v>3.5860760239884201E-4</v>
      </c>
      <c r="K103" s="2">
        <v>0.11310000000000001</v>
      </c>
      <c r="L103" s="1">
        <v>0.24940000000000001</v>
      </c>
      <c r="M103" s="1">
        <v>0.14410000000000001</v>
      </c>
    </row>
    <row r="104" spans="1:13" x14ac:dyDescent="0.2">
      <c r="A104" s="1" t="s">
        <v>129</v>
      </c>
      <c r="B104" s="1">
        <v>24</v>
      </c>
      <c r="C104" s="1" t="s">
        <v>14</v>
      </c>
      <c r="D104" s="1">
        <v>2</v>
      </c>
      <c r="E104" s="1">
        <v>14.436907670926299</v>
      </c>
      <c r="F104" s="1">
        <v>60.936771862208801</v>
      </c>
      <c r="G104" s="1">
        <v>5.6644828807003701E-2</v>
      </c>
      <c r="H104" s="1">
        <v>135.02004260197199</v>
      </c>
      <c r="I104" s="1">
        <v>20.677809552289499</v>
      </c>
      <c r="J104" s="1">
        <v>3.5860760239884201E-4</v>
      </c>
      <c r="K104" s="2">
        <v>0.12540000000000001</v>
      </c>
      <c r="L104" s="1">
        <v>0.23799999999999999</v>
      </c>
      <c r="M104" s="1">
        <v>0.159</v>
      </c>
    </row>
    <row r="105" spans="1:13" x14ac:dyDescent="0.2">
      <c r="A105" s="1" t="s">
        <v>129</v>
      </c>
      <c r="B105" s="1">
        <v>24</v>
      </c>
      <c r="C105" s="1" t="s">
        <v>15</v>
      </c>
      <c r="D105" s="1">
        <v>2</v>
      </c>
      <c r="E105" s="1">
        <v>14.436907670926299</v>
      </c>
      <c r="F105" s="1">
        <v>60.936771862208801</v>
      </c>
      <c r="G105" s="1">
        <v>5.6644828807003701E-2</v>
      </c>
      <c r="H105" s="1">
        <v>135.02004260197199</v>
      </c>
      <c r="I105" s="1">
        <v>20.677809552289499</v>
      </c>
      <c r="J105" s="1">
        <v>3.5860760239884201E-4</v>
      </c>
      <c r="K105" s="2">
        <v>0.1255</v>
      </c>
      <c r="L105" s="1">
        <v>0.2616</v>
      </c>
      <c r="M105" s="1">
        <v>0.1525</v>
      </c>
    </row>
    <row r="106" spans="1:13" x14ac:dyDescent="0.2">
      <c r="A106" s="1" t="s">
        <v>130</v>
      </c>
      <c r="B106" s="1">
        <v>25</v>
      </c>
      <c r="C106" s="1" t="s">
        <v>17</v>
      </c>
      <c r="D106" s="1">
        <v>2</v>
      </c>
      <c r="E106" s="1">
        <v>38.397056883201003</v>
      </c>
      <c r="F106" s="1">
        <v>42.777308979071599</v>
      </c>
      <c r="G106" s="1">
        <v>2.2849687706865299E-2</v>
      </c>
      <c r="H106" s="1">
        <v>140.50345539152599</v>
      </c>
      <c r="I106" s="1">
        <v>15.8303628768771</v>
      </c>
      <c r="J106" s="1">
        <v>2.8398542576469401E-4</v>
      </c>
      <c r="K106" s="2">
        <v>0.113</v>
      </c>
      <c r="L106" s="1">
        <v>0.21829999999999999</v>
      </c>
      <c r="M106" s="1">
        <v>0.16969999999999999</v>
      </c>
    </row>
    <row r="107" spans="1:13" x14ac:dyDescent="0.2">
      <c r="A107" s="1" t="s">
        <v>130</v>
      </c>
      <c r="B107" s="1">
        <v>25</v>
      </c>
      <c r="C107" s="1" t="s">
        <v>18</v>
      </c>
      <c r="D107" s="1">
        <v>2</v>
      </c>
      <c r="E107" s="1">
        <v>38.397056883201003</v>
      </c>
      <c r="F107" s="1">
        <v>42.777308979071599</v>
      </c>
      <c r="G107" s="1">
        <v>2.2849687706865299E-2</v>
      </c>
      <c r="H107" s="1">
        <v>140.50345539152599</v>
      </c>
      <c r="I107" s="1">
        <v>15.8303628768771</v>
      </c>
      <c r="J107" s="1">
        <v>2.8398542576469401E-4</v>
      </c>
      <c r="K107" s="2">
        <v>0.1144</v>
      </c>
      <c r="L107" s="1">
        <v>0.21279999999999999</v>
      </c>
      <c r="M107" s="1">
        <v>0.13850000000000001</v>
      </c>
    </row>
    <row r="108" spans="1:13" x14ac:dyDescent="0.2">
      <c r="A108" s="1" t="s">
        <v>130</v>
      </c>
      <c r="B108" s="1">
        <v>25</v>
      </c>
      <c r="C108" s="1" t="s">
        <v>19</v>
      </c>
      <c r="D108" s="1">
        <v>2</v>
      </c>
      <c r="E108" s="1">
        <v>38.397056883201003</v>
      </c>
      <c r="F108" s="1">
        <v>42.777308979071599</v>
      </c>
      <c r="G108" s="1">
        <v>2.2849687706865299E-2</v>
      </c>
      <c r="H108" s="1">
        <v>140.50345539152599</v>
      </c>
      <c r="I108" s="1">
        <v>15.8303628768771</v>
      </c>
      <c r="J108" s="1">
        <v>2.8398542576469401E-4</v>
      </c>
      <c r="K108" s="2">
        <v>0.4299</v>
      </c>
      <c r="L108" s="1">
        <v>0.23039999999999999</v>
      </c>
      <c r="M108" s="1">
        <v>0.39829999999999999</v>
      </c>
    </row>
    <row r="109" spans="1:13" x14ac:dyDescent="0.2">
      <c r="A109" s="1" t="s">
        <v>130</v>
      </c>
      <c r="B109" s="1">
        <v>25</v>
      </c>
      <c r="C109" s="1" t="s">
        <v>20</v>
      </c>
      <c r="D109" s="1">
        <v>2</v>
      </c>
      <c r="E109" s="1">
        <v>38.397056883201003</v>
      </c>
      <c r="F109" s="1">
        <v>42.777308979071599</v>
      </c>
      <c r="G109" s="1">
        <v>2.2849687706865299E-2</v>
      </c>
      <c r="H109" s="1">
        <v>140.50345539152599</v>
      </c>
      <c r="I109" s="1">
        <v>15.8303628768771</v>
      </c>
      <c r="J109" s="1">
        <v>2.8398542576469401E-4</v>
      </c>
      <c r="K109" s="2">
        <v>0.13109999999999999</v>
      </c>
      <c r="L109" s="1">
        <v>0.2319</v>
      </c>
      <c r="M109" s="1">
        <v>0.95860000000000001</v>
      </c>
    </row>
    <row r="110" spans="1:13" x14ac:dyDescent="0.2">
      <c r="A110" s="1" t="s">
        <v>131</v>
      </c>
      <c r="B110" s="1">
        <v>26</v>
      </c>
      <c r="C110" s="1" t="s">
        <v>22</v>
      </c>
      <c r="D110" s="1">
        <v>2</v>
      </c>
      <c r="E110" s="1">
        <v>16.577036125119701</v>
      </c>
      <c r="F110" s="1">
        <v>42.242316004820097</v>
      </c>
      <c r="G110" s="1">
        <v>7.0111116413026995E-4</v>
      </c>
      <c r="H110" s="1">
        <v>74.346893844008406</v>
      </c>
      <c r="I110" s="1">
        <v>62.273161914199498</v>
      </c>
      <c r="J110" s="1">
        <v>2.66505296193063E-3</v>
      </c>
      <c r="K110" s="2">
        <v>0.159</v>
      </c>
      <c r="L110" s="1">
        <v>0.26779999999999998</v>
      </c>
      <c r="M110" s="1">
        <v>0.1221</v>
      </c>
    </row>
    <row r="111" spans="1:13" x14ac:dyDescent="0.2">
      <c r="A111" s="1" t="s">
        <v>131</v>
      </c>
      <c r="B111" s="1">
        <v>26</v>
      </c>
      <c r="C111" s="1" t="s">
        <v>23</v>
      </c>
      <c r="D111" s="1">
        <v>2</v>
      </c>
      <c r="E111" s="1">
        <v>16.577036125119701</v>
      </c>
      <c r="F111" s="1">
        <v>42.242316004820097</v>
      </c>
      <c r="G111" s="1">
        <v>7.0111116413026995E-4</v>
      </c>
      <c r="H111" s="1">
        <v>74.346893844008406</v>
      </c>
      <c r="I111" s="1">
        <v>62.273161914199498</v>
      </c>
      <c r="J111" s="1">
        <v>2.66505296193063E-3</v>
      </c>
      <c r="K111" s="2">
        <v>0.37030000000000002</v>
      </c>
      <c r="L111" s="1">
        <v>0.26169999999999999</v>
      </c>
      <c r="M111" s="1">
        <v>0.1278</v>
      </c>
    </row>
    <row r="112" spans="1:13" x14ac:dyDescent="0.2">
      <c r="A112" s="1" t="s">
        <v>131</v>
      </c>
      <c r="B112" s="1">
        <v>26</v>
      </c>
      <c r="C112" s="1" t="s">
        <v>24</v>
      </c>
      <c r="D112" s="1">
        <v>2</v>
      </c>
      <c r="E112" s="1">
        <v>16.577036125119701</v>
      </c>
      <c r="F112" s="1">
        <v>42.242316004820097</v>
      </c>
      <c r="G112" s="1">
        <v>7.0111116413026995E-4</v>
      </c>
      <c r="H112" s="1">
        <v>74.346893844008406</v>
      </c>
      <c r="I112" s="1">
        <v>62.273161914199498</v>
      </c>
      <c r="J112" s="1">
        <v>2.66505296193063E-3</v>
      </c>
      <c r="K112" s="2">
        <v>0.1704</v>
      </c>
      <c r="L112" s="1">
        <v>0.2412</v>
      </c>
      <c r="M112" s="1">
        <v>0.1434</v>
      </c>
    </row>
    <row r="113" spans="1:13" x14ac:dyDescent="0.2">
      <c r="A113" s="1" t="s">
        <v>131</v>
      </c>
      <c r="B113" s="1">
        <v>26</v>
      </c>
      <c r="C113" s="1" t="s">
        <v>25</v>
      </c>
      <c r="D113" s="1">
        <v>2</v>
      </c>
      <c r="E113" s="1">
        <v>16.577036125119701</v>
      </c>
      <c r="F113" s="1">
        <v>42.242316004820097</v>
      </c>
      <c r="G113" s="1">
        <v>7.0111116413026995E-4</v>
      </c>
      <c r="H113" s="1">
        <v>74.346893844008406</v>
      </c>
      <c r="I113" s="1">
        <v>62.273161914199498</v>
      </c>
      <c r="J113" s="1">
        <v>2.66505296193063E-3</v>
      </c>
      <c r="K113" s="2">
        <v>0.15060000000000001</v>
      </c>
      <c r="L113" s="1">
        <v>0.2329</v>
      </c>
      <c r="M113" s="1">
        <v>0.13439999999999999</v>
      </c>
    </row>
    <row r="114" spans="1:13" x14ac:dyDescent="0.2">
      <c r="A114" s="1" t="s">
        <v>132</v>
      </c>
      <c r="B114" s="1">
        <v>27</v>
      </c>
      <c r="C114" s="1" t="s">
        <v>27</v>
      </c>
      <c r="D114" s="1">
        <v>2</v>
      </c>
      <c r="E114" s="1">
        <v>18.047903578728398</v>
      </c>
      <c r="F114" s="1">
        <v>11.9481279281899</v>
      </c>
      <c r="G114" s="1">
        <v>7.7902521632239194E-2</v>
      </c>
      <c r="H114" s="1">
        <v>1.6900243811309299</v>
      </c>
      <c r="I114" s="1">
        <v>70.089846909977496</v>
      </c>
      <c r="J114" s="1">
        <v>2.1700285950675604E-3</v>
      </c>
      <c r="K114" s="2">
        <v>0.13969999999999999</v>
      </c>
      <c r="L114" s="1">
        <v>0.158</v>
      </c>
      <c r="M114" s="1">
        <v>0.2482</v>
      </c>
    </row>
    <row r="115" spans="1:13" x14ac:dyDescent="0.2">
      <c r="A115" s="1" t="s">
        <v>132</v>
      </c>
      <c r="B115" s="1">
        <v>27</v>
      </c>
      <c r="C115" s="1" t="s">
        <v>28</v>
      </c>
      <c r="D115" s="1">
        <v>2</v>
      </c>
      <c r="E115" s="1">
        <v>18.047903578728398</v>
      </c>
      <c r="F115" s="1">
        <v>11.9481279281899</v>
      </c>
      <c r="G115" s="1">
        <v>7.7902521632239194E-2</v>
      </c>
      <c r="H115" s="1">
        <v>1.6900243811309299</v>
      </c>
      <c r="I115" s="1">
        <v>70.089846909977496</v>
      </c>
      <c r="J115" s="1">
        <v>2.1700285950675604E-3</v>
      </c>
      <c r="K115" s="2">
        <v>0.1356</v>
      </c>
      <c r="L115" s="1">
        <v>0.1333</v>
      </c>
      <c r="M115" s="1">
        <v>0.23400000000000001</v>
      </c>
    </row>
    <row r="116" spans="1:13" x14ac:dyDescent="0.2">
      <c r="A116" s="1" t="s">
        <v>132</v>
      </c>
      <c r="B116" s="1">
        <v>27</v>
      </c>
      <c r="C116" s="1" t="s">
        <v>29</v>
      </c>
      <c r="D116" s="1">
        <v>2</v>
      </c>
      <c r="E116" s="1">
        <v>18.047903578728398</v>
      </c>
      <c r="F116" s="1">
        <v>11.9481279281899</v>
      </c>
      <c r="G116" s="1">
        <v>7.7902521632239194E-2</v>
      </c>
      <c r="H116" s="1">
        <v>1.6900243811309299</v>
      </c>
      <c r="I116" s="1">
        <v>70.089846909977496</v>
      </c>
      <c r="J116" s="1">
        <v>2.1700285950675604E-3</v>
      </c>
      <c r="K116" s="2">
        <v>0.1348</v>
      </c>
      <c r="L116" s="1">
        <v>0.12759999999999999</v>
      </c>
      <c r="M116" s="1">
        <v>0.19220000000000001</v>
      </c>
    </row>
    <row r="117" spans="1:13" x14ac:dyDescent="0.2">
      <c r="A117" s="1" t="s">
        <v>132</v>
      </c>
      <c r="B117" s="1">
        <v>27</v>
      </c>
      <c r="C117" s="1" t="s">
        <v>30</v>
      </c>
      <c r="D117" s="1">
        <v>2</v>
      </c>
      <c r="E117" s="1">
        <v>18.047903578728398</v>
      </c>
      <c r="F117" s="1">
        <v>11.9481279281899</v>
      </c>
      <c r="G117" s="1">
        <v>7.7902521632239194E-2</v>
      </c>
      <c r="H117" s="1">
        <v>1.6900243811309299</v>
      </c>
      <c r="I117" s="1">
        <v>70.089846909977496</v>
      </c>
      <c r="J117" s="1">
        <v>2.1700285950675604E-3</v>
      </c>
      <c r="K117" s="2">
        <v>0.25969999999999999</v>
      </c>
      <c r="L117" s="1">
        <v>0.28320000000000001</v>
      </c>
      <c r="M117" s="1">
        <v>0.1948</v>
      </c>
    </row>
    <row r="118" spans="1:13" x14ac:dyDescent="0.2">
      <c r="A118" s="1" t="s">
        <v>133</v>
      </c>
      <c r="B118" s="1">
        <v>28</v>
      </c>
      <c r="C118" s="1" t="s">
        <v>32</v>
      </c>
      <c r="D118" s="1">
        <v>2</v>
      </c>
      <c r="E118" s="1">
        <v>34.055538123939101</v>
      </c>
      <c r="F118" s="1">
        <v>68.348724434152203</v>
      </c>
      <c r="G118" s="1">
        <v>7.7274059958197097E-2</v>
      </c>
      <c r="H118" s="1">
        <v>123.92695672661</v>
      </c>
      <c r="I118" s="1">
        <v>97.412905683740902</v>
      </c>
      <c r="J118" s="1">
        <v>4.5208959270734306E-3</v>
      </c>
      <c r="K118" s="2">
        <v>0.1229</v>
      </c>
      <c r="L118" s="1">
        <v>0.21679999999999999</v>
      </c>
      <c r="M118" s="1">
        <v>0.2535</v>
      </c>
    </row>
    <row r="119" spans="1:13" x14ac:dyDescent="0.2">
      <c r="A119" s="1" t="s">
        <v>133</v>
      </c>
      <c r="B119" s="1">
        <v>28</v>
      </c>
      <c r="C119" s="1" t="s">
        <v>33</v>
      </c>
      <c r="D119" s="1">
        <v>2</v>
      </c>
      <c r="E119" s="1">
        <v>34.055538123939101</v>
      </c>
      <c r="F119" s="1">
        <v>68.348724434152203</v>
      </c>
      <c r="G119" s="1">
        <v>7.7274059958197097E-2</v>
      </c>
      <c r="H119" s="1">
        <v>123.92695672661</v>
      </c>
      <c r="I119" s="1">
        <v>97.412905683740902</v>
      </c>
      <c r="J119" s="1">
        <v>4.5208959270734306E-3</v>
      </c>
      <c r="K119" s="2">
        <v>0.12479999999999999</v>
      </c>
      <c r="L119" s="1">
        <v>0.2097</v>
      </c>
      <c r="M119" s="1">
        <v>0.2</v>
      </c>
    </row>
    <row r="120" spans="1:13" x14ac:dyDescent="0.2">
      <c r="A120" s="1" t="s">
        <v>133</v>
      </c>
      <c r="B120" s="1">
        <v>28</v>
      </c>
      <c r="C120" s="1" t="s">
        <v>34</v>
      </c>
      <c r="D120" s="1">
        <v>2</v>
      </c>
      <c r="E120" s="1">
        <v>34.055538123939101</v>
      </c>
      <c r="F120" s="1">
        <v>68.348724434152203</v>
      </c>
      <c r="G120" s="1">
        <v>7.7274059958197097E-2</v>
      </c>
      <c r="H120" s="1">
        <v>123.92695672661</v>
      </c>
      <c r="I120" s="1">
        <v>97.412905683740902</v>
      </c>
      <c r="J120" s="1">
        <v>4.5208959270734306E-3</v>
      </c>
      <c r="K120" s="2">
        <v>0.1103</v>
      </c>
      <c r="L120" s="1">
        <v>0.14069999999999999</v>
      </c>
      <c r="M120" s="1">
        <v>0.18779999999999999</v>
      </c>
    </row>
    <row r="121" spans="1:13" x14ac:dyDescent="0.2">
      <c r="A121" s="1" t="s">
        <v>133</v>
      </c>
      <c r="B121" s="1">
        <v>28</v>
      </c>
      <c r="C121" s="1" t="s">
        <v>35</v>
      </c>
      <c r="D121" s="1">
        <v>2</v>
      </c>
      <c r="E121" s="1">
        <v>34.055538123939101</v>
      </c>
      <c r="F121" s="1">
        <v>68.348724434152203</v>
      </c>
      <c r="G121" s="1">
        <v>7.7274059958197097E-2</v>
      </c>
      <c r="H121" s="1">
        <v>123.92695672661</v>
      </c>
      <c r="I121" s="1">
        <v>97.412905683740902</v>
      </c>
      <c r="J121" s="1">
        <v>4.5208959270734306E-3</v>
      </c>
      <c r="K121" s="2">
        <v>0.13439999999999999</v>
      </c>
      <c r="L121" s="1">
        <v>0.15529999999999999</v>
      </c>
      <c r="M121" s="1">
        <v>0.1598</v>
      </c>
    </row>
    <row r="122" spans="1:13" x14ac:dyDescent="0.2">
      <c r="A122" s="1" t="s">
        <v>134</v>
      </c>
      <c r="B122" s="1">
        <v>29</v>
      </c>
      <c r="C122" s="1" t="s">
        <v>37</v>
      </c>
      <c r="D122" s="1">
        <v>2</v>
      </c>
      <c r="E122" s="1">
        <v>47.441865837667102</v>
      </c>
      <c r="F122" s="1">
        <v>47.368567385710698</v>
      </c>
      <c r="G122" s="1">
        <v>2.5822297235019501E-2</v>
      </c>
      <c r="H122" s="1">
        <v>11.3904938377439</v>
      </c>
      <c r="I122" s="1">
        <v>83.584356671199203</v>
      </c>
      <c r="J122" s="1">
        <v>3.56734348125755E-3</v>
      </c>
      <c r="K122" s="2">
        <v>0.11890000000000001</v>
      </c>
      <c r="L122" s="1">
        <v>0.19009999999999999</v>
      </c>
      <c r="M122" s="1">
        <v>0.30109999999999998</v>
      </c>
    </row>
    <row r="123" spans="1:13" x14ac:dyDescent="0.2">
      <c r="A123" s="1" t="s">
        <v>134</v>
      </c>
      <c r="B123" s="1">
        <v>29</v>
      </c>
      <c r="C123" s="1" t="s">
        <v>38</v>
      </c>
      <c r="D123" s="1">
        <v>2</v>
      </c>
      <c r="E123" s="1">
        <v>47.441865837667102</v>
      </c>
      <c r="F123" s="1">
        <v>47.368567385710698</v>
      </c>
      <c r="G123" s="1">
        <v>2.5822297235019501E-2</v>
      </c>
      <c r="H123" s="1">
        <v>11.3904938377439</v>
      </c>
      <c r="I123" s="1">
        <v>83.584356671199203</v>
      </c>
      <c r="J123" s="1">
        <v>3.56734348125755E-3</v>
      </c>
      <c r="K123" s="2">
        <v>0.15709999999999999</v>
      </c>
      <c r="L123" s="1">
        <v>0.23669999999999999</v>
      </c>
      <c r="M123" s="1">
        <v>0.39329999999999998</v>
      </c>
    </row>
    <row r="124" spans="1:13" x14ac:dyDescent="0.2">
      <c r="A124" s="1" t="s">
        <v>134</v>
      </c>
      <c r="B124" s="1">
        <v>29</v>
      </c>
      <c r="C124" s="1" t="s">
        <v>39</v>
      </c>
      <c r="D124" s="1">
        <v>2</v>
      </c>
      <c r="E124" s="1">
        <v>47.441865837667102</v>
      </c>
      <c r="F124" s="1">
        <v>47.368567385710698</v>
      </c>
      <c r="G124" s="1">
        <v>2.5822297235019501E-2</v>
      </c>
      <c r="H124" s="1">
        <v>11.3904938377439</v>
      </c>
      <c r="I124" s="1">
        <v>83.584356671199203</v>
      </c>
      <c r="J124" s="1">
        <v>3.56734348125755E-3</v>
      </c>
      <c r="K124" s="2">
        <v>0.16889999999999999</v>
      </c>
      <c r="L124" s="1">
        <v>0.57230000000000003</v>
      </c>
      <c r="M124" s="1">
        <v>0.27150000000000002</v>
      </c>
    </row>
    <row r="125" spans="1:13" x14ac:dyDescent="0.2">
      <c r="A125" s="1" t="s">
        <v>134</v>
      </c>
      <c r="B125" s="1">
        <v>29</v>
      </c>
      <c r="C125" s="1" t="s">
        <v>40</v>
      </c>
      <c r="D125" s="1">
        <v>2</v>
      </c>
      <c r="E125" s="1">
        <v>47.441865837667102</v>
      </c>
      <c r="F125" s="1">
        <v>47.368567385710698</v>
      </c>
      <c r="G125" s="1">
        <v>2.5822297235019501E-2</v>
      </c>
      <c r="H125" s="1">
        <v>11.3904938377439</v>
      </c>
      <c r="I125" s="1">
        <v>83.584356671199203</v>
      </c>
      <c r="J125" s="1">
        <v>3.56734348125755E-3</v>
      </c>
      <c r="K125" s="2">
        <v>0.16350000000000001</v>
      </c>
      <c r="L125" s="1">
        <v>0.59299999999999997</v>
      </c>
      <c r="M125" s="1">
        <v>0.37919999999999998</v>
      </c>
    </row>
    <row r="126" spans="1:13" x14ac:dyDescent="0.2">
      <c r="A126" s="1" t="s">
        <v>135</v>
      </c>
      <c r="B126" s="1">
        <v>30</v>
      </c>
      <c r="C126" s="1" t="s">
        <v>42</v>
      </c>
      <c r="D126" s="1">
        <v>2</v>
      </c>
      <c r="E126" s="1">
        <v>1.0869644745253</v>
      </c>
      <c r="F126" s="1">
        <v>15.0792768402025</v>
      </c>
      <c r="G126" s="1">
        <v>5.6403851263225006E-3</v>
      </c>
      <c r="H126" s="1">
        <v>49.490173384547198</v>
      </c>
      <c r="I126" s="1">
        <v>106.057803346775</v>
      </c>
      <c r="J126" s="1">
        <v>1.75776861868798E-3</v>
      </c>
      <c r="K126" s="2">
        <v>0.2485</v>
      </c>
      <c r="L126" s="1">
        <v>0.72660000000000002</v>
      </c>
      <c r="M126" s="1">
        <v>0.80489999999999995</v>
      </c>
    </row>
    <row r="127" spans="1:13" x14ac:dyDescent="0.2">
      <c r="A127" s="1" t="s">
        <v>135</v>
      </c>
      <c r="B127" s="1">
        <v>30</v>
      </c>
      <c r="C127" s="1" t="s">
        <v>43</v>
      </c>
      <c r="D127" s="1">
        <v>2</v>
      </c>
      <c r="E127" s="1">
        <v>1.0869644745253</v>
      </c>
      <c r="F127" s="1">
        <v>15.0792768402025</v>
      </c>
      <c r="G127" s="1">
        <v>5.6403851263225006E-3</v>
      </c>
      <c r="H127" s="1">
        <v>49.490173384547198</v>
      </c>
      <c r="I127" s="1">
        <v>106.057803346775</v>
      </c>
      <c r="J127" s="1">
        <v>1.75776861868798E-3</v>
      </c>
      <c r="K127" s="2">
        <v>0.13100000000000001</v>
      </c>
      <c r="L127" s="1">
        <v>0.35659999999999997</v>
      </c>
      <c r="M127" s="1">
        <v>0.3463</v>
      </c>
    </row>
    <row r="128" spans="1:13" x14ac:dyDescent="0.2">
      <c r="A128" s="1" t="s">
        <v>135</v>
      </c>
      <c r="B128" s="1">
        <v>30</v>
      </c>
      <c r="C128" s="1" t="s">
        <v>44</v>
      </c>
      <c r="D128" s="1">
        <v>2</v>
      </c>
      <c r="E128" s="1">
        <v>1.0869644745253</v>
      </c>
      <c r="F128" s="1">
        <v>15.0792768402025</v>
      </c>
      <c r="G128" s="1">
        <v>5.6403851263225006E-3</v>
      </c>
      <c r="H128" s="1">
        <v>49.490173384547198</v>
      </c>
      <c r="I128" s="1">
        <v>106.057803346775</v>
      </c>
      <c r="J128" s="1">
        <v>1.75776861868798E-3</v>
      </c>
      <c r="K128" s="2">
        <v>0.14599999999999999</v>
      </c>
      <c r="L128" s="1">
        <v>0.37780000000000002</v>
      </c>
      <c r="M128" s="1">
        <v>0.3211</v>
      </c>
    </row>
    <row r="129" spans="1:13" x14ac:dyDescent="0.2">
      <c r="A129" s="1" t="s">
        <v>135</v>
      </c>
      <c r="B129" s="1">
        <v>30</v>
      </c>
      <c r="C129" s="1" t="s">
        <v>45</v>
      </c>
      <c r="D129" s="1">
        <v>2</v>
      </c>
      <c r="E129" s="1">
        <v>1.0869644745253</v>
      </c>
      <c r="F129" s="1">
        <v>15.0792768402025</v>
      </c>
      <c r="G129" s="1">
        <v>5.6403851263225006E-3</v>
      </c>
      <c r="H129" s="1">
        <v>49.490173384547198</v>
      </c>
      <c r="I129" s="1">
        <v>106.057803346775</v>
      </c>
      <c r="J129" s="1">
        <v>1.75776861868798E-3</v>
      </c>
      <c r="K129" s="2">
        <v>0.121</v>
      </c>
      <c r="L129" s="1">
        <v>0.41520000000000001</v>
      </c>
      <c r="M129" s="1">
        <v>0.311</v>
      </c>
    </row>
    <row r="130" spans="1:13" x14ac:dyDescent="0.2">
      <c r="A130" s="1" t="s">
        <v>136</v>
      </c>
      <c r="B130" s="1">
        <v>31</v>
      </c>
      <c r="C130" s="1" t="s">
        <v>47</v>
      </c>
      <c r="D130" s="1">
        <v>2</v>
      </c>
      <c r="E130" s="1">
        <v>24.433649511076499</v>
      </c>
      <c r="F130" s="1">
        <v>95.934095697477403</v>
      </c>
      <c r="G130" s="1">
        <v>9.8073957054503197E-2</v>
      </c>
      <c r="H130" s="1">
        <v>95.865755763649901</v>
      </c>
      <c r="I130" s="1">
        <v>125.555491042323</v>
      </c>
      <c r="J130" s="1">
        <v>2.8647042808588497E-3</v>
      </c>
      <c r="K130" s="2">
        <v>0.1181</v>
      </c>
      <c r="L130" s="1">
        <v>0.25280000000000002</v>
      </c>
      <c r="M130" s="1">
        <v>0.18210000000000001</v>
      </c>
    </row>
    <row r="131" spans="1:13" x14ac:dyDescent="0.2">
      <c r="A131" s="1" t="s">
        <v>136</v>
      </c>
      <c r="B131" s="1">
        <v>31</v>
      </c>
      <c r="C131" s="1" t="s">
        <v>48</v>
      </c>
      <c r="D131" s="1">
        <v>2</v>
      </c>
      <c r="E131" s="1">
        <v>24.433649511076499</v>
      </c>
      <c r="F131" s="1">
        <v>95.934095697477403</v>
      </c>
      <c r="G131" s="1">
        <v>9.8073957054503197E-2</v>
      </c>
      <c r="H131" s="1">
        <v>95.865755763649901</v>
      </c>
      <c r="I131" s="1">
        <v>125.555491042323</v>
      </c>
      <c r="J131" s="1">
        <v>2.8647042808588497E-3</v>
      </c>
      <c r="K131" s="2">
        <v>0.15359999999999999</v>
      </c>
      <c r="L131" s="1">
        <v>0.1857</v>
      </c>
      <c r="M131" s="1">
        <v>0.21049999999999999</v>
      </c>
    </row>
    <row r="132" spans="1:13" x14ac:dyDescent="0.2">
      <c r="A132" s="1" t="s">
        <v>136</v>
      </c>
      <c r="B132" s="1">
        <v>31</v>
      </c>
      <c r="C132" s="1" t="s">
        <v>49</v>
      </c>
      <c r="D132" s="1">
        <v>2</v>
      </c>
      <c r="E132" s="1">
        <v>24.433649511076499</v>
      </c>
      <c r="F132" s="1">
        <v>95.934095697477403</v>
      </c>
      <c r="G132" s="1">
        <v>9.8073957054503197E-2</v>
      </c>
      <c r="H132" s="1">
        <v>95.865755763649901</v>
      </c>
      <c r="I132" s="1">
        <v>125.555491042323</v>
      </c>
      <c r="J132" s="1">
        <v>2.8647042808588497E-3</v>
      </c>
      <c r="K132" s="2">
        <v>0.11700000000000001</v>
      </c>
      <c r="L132" s="1">
        <v>0.28670000000000001</v>
      </c>
      <c r="M132" s="1">
        <v>0.22339999999999999</v>
      </c>
    </row>
    <row r="133" spans="1:13" x14ac:dyDescent="0.2">
      <c r="A133" s="1" t="s">
        <v>136</v>
      </c>
      <c r="B133" s="1">
        <v>31</v>
      </c>
      <c r="C133" s="1" t="s">
        <v>50</v>
      </c>
      <c r="D133" s="1">
        <v>2</v>
      </c>
      <c r="E133" s="1">
        <v>24.433649511076499</v>
      </c>
      <c r="F133" s="1">
        <v>95.934095697477403</v>
      </c>
      <c r="G133" s="1">
        <v>9.8073957054503197E-2</v>
      </c>
      <c r="H133" s="1">
        <v>95.865755763649901</v>
      </c>
      <c r="I133" s="1">
        <v>125.555491042323</v>
      </c>
      <c r="J133" s="1">
        <v>2.8647042808588497E-3</v>
      </c>
      <c r="K133" s="2">
        <v>0.12690000000000001</v>
      </c>
      <c r="L133" s="1">
        <v>0.27489999999999998</v>
      </c>
      <c r="M133" s="1">
        <v>0.25459999999999999</v>
      </c>
    </row>
    <row r="134" spans="1:13" x14ac:dyDescent="0.2">
      <c r="A134" s="1" t="s">
        <v>137</v>
      </c>
      <c r="B134" s="1">
        <v>32</v>
      </c>
      <c r="C134" s="1" t="s">
        <v>52</v>
      </c>
      <c r="D134" s="1">
        <v>2</v>
      </c>
      <c r="E134" s="1">
        <v>44.783365886658402</v>
      </c>
      <c r="F134" s="1">
        <v>63.579611069522798</v>
      </c>
      <c r="G134" s="1">
        <v>4.9772305982373602E-2</v>
      </c>
      <c r="H134" s="1">
        <v>76.623912628740001</v>
      </c>
      <c r="I134" s="1">
        <v>108.515625209547</v>
      </c>
      <c r="J134" s="1">
        <v>4.4293872045353001E-3</v>
      </c>
      <c r="K134" s="2">
        <v>0.1205</v>
      </c>
      <c r="L134" s="1">
        <v>0.24759999999999999</v>
      </c>
      <c r="M134" s="1">
        <v>0.58940000000000003</v>
      </c>
    </row>
    <row r="135" spans="1:13" x14ac:dyDescent="0.2">
      <c r="A135" s="1" t="s">
        <v>137</v>
      </c>
      <c r="B135" s="1">
        <v>32</v>
      </c>
      <c r="C135" s="1" t="s">
        <v>53</v>
      </c>
      <c r="D135" s="1">
        <v>2</v>
      </c>
      <c r="E135" s="1">
        <v>44.783365886658402</v>
      </c>
      <c r="F135" s="1">
        <v>63.579611069522798</v>
      </c>
      <c r="G135" s="1">
        <v>4.9772305982373602E-2</v>
      </c>
      <c r="H135" s="1">
        <v>76.623912628740001</v>
      </c>
      <c r="I135" s="1">
        <v>108.515625209547</v>
      </c>
      <c r="J135" s="1">
        <v>4.4293872045353001E-3</v>
      </c>
      <c r="K135" s="2">
        <v>0.12820000000000001</v>
      </c>
      <c r="L135" s="1">
        <v>0.2646</v>
      </c>
      <c r="M135" s="1">
        <v>1.2396</v>
      </c>
    </row>
    <row r="136" spans="1:13" x14ac:dyDescent="0.2">
      <c r="A136" s="1" t="s">
        <v>137</v>
      </c>
      <c r="B136" s="1">
        <v>32</v>
      </c>
      <c r="C136" s="1" t="s">
        <v>54</v>
      </c>
      <c r="D136" s="1">
        <v>2</v>
      </c>
      <c r="E136" s="1">
        <v>44.783365886658402</v>
      </c>
      <c r="F136" s="1">
        <v>63.579611069522798</v>
      </c>
      <c r="G136" s="1">
        <v>4.9772305982373602E-2</v>
      </c>
      <c r="H136" s="1">
        <v>76.623912628740001</v>
      </c>
      <c r="I136" s="1">
        <v>108.515625209547</v>
      </c>
      <c r="J136" s="1">
        <v>4.4293872045353001E-3</v>
      </c>
      <c r="K136" s="2">
        <v>0.1303</v>
      </c>
      <c r="L136" s="1">
        <v>0.2195</v>
      </c>
      <c r="M136" s="1">
        <v>0.3397</v>
      </c>
    </row>
    <row r="137" spans="1:13" x14ac:dyDescent="0.2">
      <c r="A137" s="1" t="s">
        <v>137</v>
      </c>
      <c r="B137" s="1">
        <v>32</v>
      </c>
      <c r="C137" s="1" t="s">
        <v>55</v>
      </c>
      <c r="D137" s="1">
        <v>2</v>
      </c>
      <c r="E137" s="1">
        <v>44.783365886658402</v>
      </c>
      <c r="F137" s="1">
        <v>63.579611069522798</v>
      </c>
      <c r="G137" s="1">
        <v>4.9772305982373602E-2</v>
      </c>
      <c r="H137" s="1">
        <v>76.623912628740001</v>
      </c>
      <c r="I137" s="1">
        <v>108.515625209547</v>
      </c>
      <c r="J137" s="1">
        <v>4.4293872045353001E-3</v>
      </c>
      <c r="K137" s="2">
        <v>0.12609999999999999</v>
      </c>
      <c r="L137" s="1">
        <v>0.22800000000000001</v>
      </c>
      <c r="M137" s="1">
        <v>0.28349999999999997</v>
      </c>
    </row>
    <row r="138" spans="1:13" x14ac:dyDescent="0.2">
      <c r="A138" s="1" t="s">
        <v>138</v>
      </c>
      <c r="B138" s="1">
        <v>33</v>
      </c>
      <c r="C138" s="1" t="s">
        <v>57</v>
      </c>
      <c r="D138" s="1">
        <v>2</v>
      </c>
      <c r="E138" s="1">
        <v>2.6125594526529299</v>
      </c>
      <c r="F138" s="1">
        <v>32.908584495074997</v>
      </c>
      <c r="G138" s="1">
        <v>7.9698729621432707E-2</v>
      </c>
      <c r="H138" s="1">
        <v>24.209409802406999</v>
      </c>
      <c r="I138" s="1">
        <v>98.055628007277804</v>
      </c>
      <c r="J138" s="1">
        <v>3.5069238582625898E-3</v>
      </c>
      <c r="K138" s="2">
        <v>0.25879999999999997</v>
      </c>
      <c r="L138" s="1">
        <v>0.54479999999999995</v>
      </c>
      <c r="M138" s="1">
        <v>0.5373</v>
      </c>
    </row>
    <row r="139" spans="1:13" x14ac:dyDescent="0.2">
      <c r="A139" s="1" t="s">
        <v>138</v>
      </c>
      <c r="B139" s="1">
        <v>33</v>
      </c>
      <c r="C139" s="1" t="s">
        <v>58</v>
      </c>
      <c r="D139" s="1">
        <v>2</v>
      </c>
      <c r="E139" s="1">
        <v>2.6125594526529299</v>
      </c>
      <c r="F139" s="1">
        <v>32.908584495074997</v>
      </c>
      <c r="G139" s="1">
        <v>7.9698729621432707E-2</v>
      </c>
      <c r="H139" s="1">
        <v>24.209409802406999</v>
      </c>
      <c r="I139" s="1">
        <v>98.055628007277804</v>
      </c>
      <c r="J139" s="1">
        <v>3.5069238582625898E-3</v>
      </c>
      <c r="K139" s="2">
        <v>0.2898</v>
      </c>
      <c r="L139" s="1">
        <v>0.56589999999999996</v>
      </c>
      <c r="M139" s="1">
        <v>0.28839999999999999</v>
      </c>
    </row>
    <row r="140" spans="1:13" x14ac:dyDescent="0.2">
      <c r="A140" s="1" t="s">
        <v>138</v>
      </c>
      <c r="B140" s="1">
        <v>33</v>
      </c>
      <c r="C140" s="1" t="s">
        <v>59</v>
      </c>
      <c r="D140" s="1">
        <v>2</v>
      </c>
      <c r="E140" s="1">
        <v>2.6125594526529299</v>
      </c>
      <c r="F140" s="1">
        <v>32.908584495074997</v>
      </c>
      <c r="G140" s="1">
        <v>7.9698729621432707E-2</v>
      </c>
      <c r="H140" s="1">
        <v>24.209409802406999</v>
      </c>
      <c r="I140" s="1">
        <v>98.055628007277804</v>
      </c>
      <c r="J140" s="1">
        <v>3.5069238582625898E-3</v>
      </c>
      <c r="K140" s="2">
        <v>0.25669999999999998</v>
      </c>
      <c r="L140" s="1">
        <v>0.56630000000000003</v>
      </c>
      <c r="M140" s="1">
        <v>0.39219999999999999</v>
      </c>
    </row>
    <row r="141" spans="1:13" x14ac:dyDescent="0.2">
      <c r="A141" s="1" t="s">
        <v>138</v>
      </c>
      <c r="B141" s="1">
        <v>33</v>
      </c>
      <c r="C141" s="1" t="s">
        <v>60</v>
      </c>
      <c r="D141" s="1">
        <v>2</v>
      </c>
      <c r="E141" s="1">
        <v>2.6125594526529299</v>
      </c>
      <c r="F141" s="1">
        <v>32.908584495074997</v>
      </c>
      <c r="G141" s="1">
        <v>7.9698729621432707E-2</v>
      </c>
      <c r="H141" s="1">
        <v>24.209409802406999</v>
      </c>
      <c r="I141" s="1">
        <v>98.055628007277804</v>
      </c>
      <c r="J141" s="1">
        <v>3.5069238582625898E-3</v>
      </c>
      <c r="K141" s="2">
        <v>0.23780000000000001</v>
      </c>
      <c r="L141" s="1">
        <v>0.65980000000000005</v>
      </c>
      <c r="M141" s="1">
        <v>0.29530000000000001</v>
      </c>
    </row>
    <row r="142" spans="1:13" x14ac:dyDescent="0.2">
      <c r="A142" s="1" t="s">
        <v>139</v>
      </c>
      <c r="B142" s="1">
        <v>34</v>
      </c>
      <c r="C142" s="1" t="s">
        <v>62</v>
      </c>
      <c r="D142" s="1">
        <v>2</v>
      </c>
      <c r="E142" s="1">
        <v>10.2746875057928</v>
      </c>
      <c r="F142" s="1">
        <v>72.488265474326894</v>
      </c>
      <c r="G142" s="1">
        <v>4.3031005704775402E-2</v>
      </c>
      <c r="H142" s="1">
        <v>28.0544732578098</v>
      </c>
      <c r="I142" s="1">
        <v>129.67857192736099</v>
      </c>
      <c r="J142" s="1">
        <v>4.2109012999106202E-3</v>
      </c>
      <c r="K142" s="2">
        <v>0.1318</v>
      </c>
      <c r="L142" s="1">
        <v>0.3221</v>
      </c>
      <c r="M142" s="1">
        <v>0.27450000000000002</v>
      </c>
    </row>
    <row r="143" spans="1:13" x14ac:dyDescent="0.2">
      <c r="A143" s="1" t="s">
        <v>139</v>
      </c>
      <c r="B143" s="1">
        <v>34</v>
      </c>
      <c r="C143" s="1" t="s">
        <v>63</v>
      </c>
      <c r="D143" s="1">
        <v>2</v>
      </c>
      <c r="E143" s="1">
        <v>10.2746875057928</v>
      </c>
      <c r="F143" s="1">
        <v>72.488265474326894</v>
      </c>
      <c r="G143" s="1">
        <v>4.3031005704775402E-2</v>
      </c>
      <c r="H143" s="1">
        <v>28.0544732578098</v>
      </c>
      <c r="I143" s="1">
        <v>129.67857192736099</v>
      </c>
      <c r="J143" s="1">
        <v>4.2109012999106202E-3</v>
      </c>
      <c r="K143" s="2">
        <v>0.17899999999999999</v>
      </c>
      <c r="L143" s="1">
        <v>0.28560000000000002</v>
      </c>
      <c r="M143" s="1">
        <v>0.6502</v>
      </c>
    </row>
    <row r="144" spans="1:13" x14ac:dyDescent="0.2">
      <c r="A144" s="1" t="s">
        <v>139</v>
      </c>
      <c r="B144" s="1">
        <v>34</v>
      </c>
      <c r="C144" s="1" t="s">
        <v>64</v>
      </c>
      <c r="D144" s="1">
        <v>2</v>
      </c>
      <c r="E144" s="1">
        <v>10.2746875057928</v>
      </c>
      <c r="F144" s="1">
        <v>72.488265474326894</v>
      </c>
      <c r="G144" s="1">
        <v>4.3031005704775402E-2</v>
      </c>
      <c r="H144" s="1">
        <v>28.0544732578098</v>
      </c>
      <c r="I144" s="1">
        <v>129.67857192736099</v>
      </c>
      <c r="J144" s="1">
        <v>4.2109012999106202E-3</v>
      </c>
      <c r="K144" s="2">
        <v>0.1575</v>
      </c>
      <c r="L144" s="1">
        <v>0.2802</v>
      </c>
      <c r="M144" s="1">
        <v>0.46129999999999999</v>
      </c>
    </row>
    <row r="145" spans="1:13" x14ac:dyDescent="0.2">
      <c r="A145" s="1" t="s">
        <v>139</v>
      </c>
      <c r="B145" s="1">
        <v>34</v>
      </c>
      <c r="C145" s="1" t="s">
        <v>65</v>
      </c>
      <c r="D145" s="1">
        <v>2</v>
      </c>
      <c r="E145" s="1">
        <v>10.2746875057928</v>
      </c>
      <c r="F145" s="1">
        <v>72.488265474326894</v>
      </c>
      <c r="G145" s="1">
        <v>4.3031005704775402E-2</v>
      </c>
      <c r="H145" s="1">
        <v>28.0544732578098</v>
      </c>
      <c r="I145" s="1">
        <v>129.67857192736099</v>
      </c>
      <c r="J145" s="1">
        <v>4.2109012999106202E-3</v>
      </c>
      <c r="K145" s="2">
        <v>0.12620000000000001</v>
      </c>
      <c r="L145" s="1">
        <v>0.2392</v>
      </c>
      <c r="M145" s="1">
        <v>0.20169999999999999</v>
      </c>
    </row>
    <row r="146" spans="1:13" x14ac:dyDescent="0.2">
      <c r="A146" s="1" t="s">
        <v>140</v>
      </c>
      <c r="B146" s="1">
        <v>35</v>
      </c>
      <c r="C146" s="1" t="s">
        <v>67</v>
      </c>
      <c r="D146" s="1">
        <v>2</v>
      </c>
      <c r="E146" s="1">
        <v>40.866569858044301</v>
      </c>
      <c r="F146" s="1">
        <v>47.711569246836</v>
      </c>
      <c r="G146" s="1">
        <v>5.9910626059956798E-2</v>
      </c>
      <c r="H146" s="1">
        <v>101.470828448981</v>
      </c>
      <c r="I146" s="1">
        <v>127.897753785364</v>
      </c>
      <c r="J146" s="1">
        <v>2.6915079502854403E-3</v>
      </c>
      <c r="K146" s="2">
        <v>0.12959999999999999</v>
      </c>
      <c r="L146" s="1">
        <v>0.25769999999999998</v>
      </c>
      <c r="M146" s="1">
        <v>0.37440000000000001</v>
      </c>
    </row>
    <row r="147" spans="1:13" x14ac:dyDescent="0.2">
      <c r="A147" s="1" t="s">
        <v>140</v>
      </c>
      <c r="B147" s="1">
        <v>35</v>
      </c>
      <c r="C147" s="1" t="s">
        <v>68</v>
      </c>
      <c r="D147" s="1">
        <v>2</v>
      </c>
      <c r="E147" s="1">
        <v>40.866569858044301</v>
      </c>
      <c r="F147" s="1">
        <v>47.711569246836</v>
      </c>
      <c r="G147" s="1">
        <v>5.9910626059956798E-2</v>
      </c>
      <c r="H147" s="1">
        <v>101.470828448981</v>
      </c>
      <c r="I147" s="1">
        <v>127.897753785364</v>
      </c>
      <c r="J147" s="1">
        <v>2.6915079502854403E-3</v>
      </c>
      <c r="K147" s="2">
        <v>0.42199999999999999</v>
      </c>
      <c r="L147" s="1">
        <v>0.2545</v>
      </c>
      <c r="M147" s="1">
        <v>0.37859999999999999</v>
      </c>
    </row>
    <row r="148" spans="1:13" x14ac:dyDescent="0.2">
      <c r="A148" s="1" t="s">
        <v>140</v>
      </c>
      <c r="B148" s="1">
        <v>35</v>
      </c>
      <c r="C148" s="1" t="s">
        <v>69</v>
      </c>
      <c r="D148" s="1">
        <v>2</v>
      </c>
      <c r="E148" s="1">
        <v>40.866569858044301</v>
      </c>
      <c r="F148" s="1">
        <v>47.711569246836</v>
      </c>
      <c r="G148" s="1">
        <v>5.9910626059956798E-2</v>
      </c>
      <c r="H148" s="1">
        <v>101.470828448981</v>
      </c>
      <c r="I148" s="1">
        <v>127.897753785364</v>
      </c>
      <c r="J148" s="1">
        <v>2.6915079502854403E-3</v>
      </c>
      <c r="K148" s="2">
        <v>0.1479</v>
      </c>
      <c r="L148" s="1">
        <v>0.26029999999999998</v>
      </c>
      <c r="M148" s="1">
        <v>0.23680000000000001</v>
      </c>
    </row>
    <row r="149" spans="1:13" x14ac:dyDescent="0.2">
      <c r="A149" s="1" t="s">
        <v>140</v>
      </c>
      <c r="B149" s="1">
        <v>35</v>
      </c>
      <c r="C149" s="1" t="s">
        <v>70</v>
      </c>
      <c r="D149" s="1">
        <v>2</v>
      </c>
      <c r="E149" s="1">
        <v>40.866569858044301</v>
      </c>
      <c r="F149" s="1">
        <v>47.711569246836</v>
      </c>
      <c r="G149" s="1">
        <v>5.9910626059956798E-2</v>
      </c>
      <c r="H149" s="1">
        <v>101.470828448981</v>
      </c>
      <c r="I149" s="1">
        <v>127.897753785364</v>
      </c>
      <c r="J149" s="1">
        <v>2.6915079502854403E-3</v>
      </c>
      <c r="K149" s="2">
        <v>0.14269999999999999</v>
      </c>
      <c r="L149" s="1">
        <v>0.27739999999999998</v>
      </c>
      <c r="M149" s="1">
        <v>0.39979999999999999</v>
      </c>
    </row>
    <row r="150" spans="1:13" x14ac:dyDescent="0.2">
      <c r="A150" s="1" t="s">
        <v>141</v>
      </c>
      <c r="B150" s="1">
        <v>36</v>
      </c>
      <c r="C150" s="1" t="s">
        <v>72</v>
      </c>
      <c r="D150" s="1">
        <v>2</v>
      </c>
      <c r="E150" s="1">
        <v>22.163364408537699</v>
      </c>
      <c r="F150" s="1">
        <v>85.811725980602205</v>
      </c>
      <c r="G150" s="1">
        <v>6.5036117504909591E-2</v>
      </c>
      <c r="H150" s="1">
        <v>128.27968515157599</v>
      </c>
      <c r="I150" s="1">
        <v>80.811556256376207</v>
      </c>
      <c r="J150" s="1">
        <v>2.3570055221207401E-4</v>
      </c>
      <c r="K150" s="2">
        <v>0.1075</v>
      </c>
      <c r="L150" s="1">
        <v>0.20669999999999999</v>
      </c>
      <c r="M150" s="1">
        <v>0.26819999999999999</v>
      </c>
    </row>
    <row r="151" spans="1:13" x14ac:dyDescent="0.2">
      <c r="A151" s="1" t="s">
        <v>141</v>
      </c>
      <c r="B151" s="1">
        <v>36</v>
      </c>
      <c r="C151" s="1" t="s">
        <v>73</v>
      </c>
      <c r="D151" s="1">
        <v>2</v>
      </c>
      <c r="E151" s="1">
        <v>22.163364408537699</v>
      </c>
      <c r="F151" s="1">
        <v>85.811725980602205</v>
      </c>
      <c r="G151" s="1">
        <v>6.5036117504909591E-2</v>
      </c>
      <c r="H151" s="1">
        <v>128.27968515157599</v>
      </c>
      <c r="I151" s="1">
        <v>80.811556256376207</v>
      </c>
      <c r="J151" s="1">
        <v>2.3570055221207401E-4</v>
      </c>
      <c r="K151" s="2">
        <v>0.1114</v>
      </c>
      <c r="L151" s="1">
        <v>0.18559999999999999</v>
      </c>
      <c r="M151" s="1">
        <v>0.2298</v>
      </c>
    </row>
    <row r="152" spans="1:13" x14ac:dyDescent="0.2">
      <c r="A152" s="1" t="s">
        <v>141</v>
      </c>
      <c r="B152" s="1">
        <v>36</v>
      </c>
      <c r="C152" s="1" t="s">
        <v>74</v>
      </c>
      <c r="D152" s="1">
        <v>2</v>
      </c>
      <c r="E152" s="1">
        <v>22.163364408537699</v>
      </c>
      <c r="F152" s="1">
        <v>85.811725980602205</v>
      </c>
      <c r="G152" s="1">
        <v>6.5036117504909591E-2</v>
      </c>
      <c r="H152" s="1">
        <v>128.27968515157599</v>
      </c>
      <c r="I152" s="1">
        <v>80.811556256376207</v>
      </c>
      <c r="J152" s="1">
        <v>2.3570055221207401E-4</v>
      </c>
      <c r="K152" s="2">
        <v>9.5399999999999999E-2</v>
      </c>
      <c r="L152" s="1">
        <v>0.1278</v>
      </c>
      <c r="M152" s="1">
        <v>0.21809999999999999</v>
      </c>
    </row>
    <row r="153" spans="1:13" x14ac:dyDescent="0.2">
      <c r="A153" s="1" t="s">
        <v>141</v>
      </c>
      <c r="B153" s="1">
        <v>36</v>
      </c>
      <c r="C153" s="1" t="s">
        <v>75</v>
      </c>
      <c r="D153" s="1">
        <v>2</v>
      </c>
      <c r="E153" s="1">
        <v>22.163364408537699</v>
      </c>
      <c r="F153" s="1">
        <v>85.811725980602205</v>
      </c>
      <c r="G153" s="1">
        <v>6.5036117504909591E-2</v>
      </c>
      <c r="H153" s="1">
        <v>128.27968515157599</v>
      </c>
      <c r="I153" s="1">
        <v>80.811556256376207</v>
      </c>
      <c r="J153" s="1">
        <v>2.3570055221207401E-4</v>
      </c>
      <c r="K153" s="2">
        <v>9.7799999999999998E-2</v>
      </c>
      <c r="L153" s="1">
        <v>0.1174</v>
      </c>
      <c r="M153" s="1">
        <v>0.21249999999999999</v>
      </c>
    </row>
    <row r="154" spans="1:13" x14ac:dyDescent="0.2">
      <c r="A154" s="1" t="s">
        <v>142</v>
      </c>
      <c r="B154" s="1">
        <v>37</v>
      </c>
      <c r="C154" s="1" t="s">
        <v>77</v>
      </c>
      <c r="D154" s="1">
        <v>2</v>
      </c>
      <c r="E154" s="1">
        <v>18.500179728958699</v>
      </c>
      <c r="F154" s="1">
        <v>90.919972178526194</v>
      </c>
      <c r="G154" s="1">
        <v>4.0297739637084301E-2</v>
      </c>
      <c r="H154" s="1">
        <v>105.98164755553</v>
      </c>
      <c r="I154" s="1">
        <v>142.396303815767</v>
      </c>
      <c r="J154" s="1">
        <v>4.2801540767308296E-3</v>
      </c>
      <c r="K154" s="2">
        <v>0.126</v>
      </c>
      <c r="L154" s="1">
        <v>0.23799999999999999</v>
      </c>
      <c r="M154" s="1">
        <v>1.3412999999999999</v>
      </c>
    </row>
    <row r="155" spans="1:13" x14ac:dyDescent="0.2">
      <c r="A155" s="1" t="s">
        <v>142</v>
      </c>
      <c r="B155" s="1">
        <v>37</v>
      </c>
      <c r="C155" s="1" t="s">
        <v>78</v>
      </c>
      <c r="D155" s="1">
        <v>2</v>
      </c>
      <c r="E155" s="1">
        <v>18.500179728958699</v>
      </c>
      <c r="F155" s="1">
        <v>90.919972178526194</v>
      </c>
      <c r="G155" s="1">
        <v>4.0297739637084301E-2</v>
      </c>
      <c r="H155" s="1">
        <v>105.98164755553</v>
      </c>
      <c r="I155" s="1">
        <v>142.396303815767</v>
      </c>
      <c r="J155" s="1">
        <v>4.2801540767308296E-3</v>
      </c>
      <c r="K155" s="2">
        <v>0.1153</v>
      </c>
      <c r="L155" s="1">
        <v>0.24210000000000001</v>
      </c>
      <c r="M155" s="1">
        <v>0.2397</v>
      </c>
    </row>
    <row r="156" spans="1:13" x14ac:dyDescent="0.2">
      <c r="A156" s="1" t="s">
        <v>142</v>
      </c>
      <c r="B156" s="1">
        <v>37</v>
      </c>
      <c r="C156" s="1" t="s">
        <v>79</v>
      </c>
      <c r="D156" s="1">
        <v>2</v>
      </c>
      <c r="E156" s="1">
        <v>18.500179728958699</v>
      </c>
      <c r="F156" s="1">
        <v>90.919972178526194</v>
      </c>
      <c r="G156" s="1">
        <v>4.0297739637084301E-2</v>
      </c>
      <c r="H156" s="1">
        <v>105.98164755553</v>
      </c>
      <c r="I156" s="1">
        <v>142.396303815767</v>
      </c>
      <c r="J156" s="1">
        <v>4.2801540767308296E-3</v>
      </c>
      <c r="K156" s="2">
        <v>0.1142</v>
      </c>
      <c r="L156" s="1">
        <v>0.223</v>
      </c>
      <c r="M156" s="1">
        <v>0.2316</v>
      </c>
    </row>
    <row r="157" spans="1:13" x14ac:dyDescent="0.2">
      <c r="A157" s="1" t="s">
        <v>142</v>
      </c>
      <c r="B157" s="1">
        <v>37</v>
      </c>
      <c r="C157" s="1" t="s">
        <v>80</v>
      </c>
      <c r="D157" s="1">
        <v>2</v>
      </c>
      <c r="E157" s="1">
        <v>18.500179728958699</v>
      </c>
      <c r="F157" s="1">
        <v>90.919972178526194</v>
      </c>
      <c r="G157" s="1">
        <v>4.0297739637084301E-2</v>
      </c>
      <c r="H157" s="1">
        <v>105.98164755553</v>
      </c>
      <c r="I157" s="1">
        <v>142.396303815767</v>
      </c>
      <c r="J157" s="1">
        <v>4.2801540767308296E-3</v>
      </c>
      <c r="K157" s="2">
        <v>0.1653</v>
      </c>
      <c r="L157" s="1">
        <v>0.16789999999999999</v>
      </c>
      <c r="M157" s="1">
        <v>0.41639999999999999</v>
      </c>
    </row>
    <row r="158" spans="1:13" x14ac:dyDescent="0.2">
      <c r="A158" s="1" t="s">
        <v>143</v>
      </c>
      <c r="B158" s="1">
        <v>38</v>
      </c>
      <c r="C158" s="1" t="s">
        <v>82</v>
      </c>
      <c r="D158" s="1">
        <v>2</v>
      </c>
      <c r="E158" s="1">
        <v>38.5946215889416</v>
      </c>
      <c r="F158" s="1">
        <v>15.7117038900032</v>
      </c>
      <c r="G158" s="1">
        <v>8.9123107361234702E-2</v>
      </c>
      <c r="H158" s="1">
        <v>39.705781137198201</v>
      </c>
      <c r="I158" s="1">
        <v>137.87147558759801</v>
      </c>
      <c r="J158" s="1">
        <v>2.1744467029348E-4</v>
      </c>
      <c r="K158" s="2">
        <v>0.23419999999999999</v>
      </c>
      <c r="L158" s="1">
        <v>0.51380000000000003</v>
      </c>
      <c r="M158" s="1">
        <v>1.2199</v>
      </c>
    </row>
    <row r="159" spans="1:13" x14ac:dyDescent="0.2">
      <c r="A159" s="1" t="s">
        <v>143</v>
      </c>
      <c r="B159" s="1">
        <v>38</v>
      </c>
      <c r="C159" s="1" t="s">
        <v>83</v>
      </c>
      <c r="D159" s="1">
        <v>2</v>
      </c>
      <c r="E159" s="1">
        <v>38.5946215889416</v>
      </c>
      <c r="F159" s="1">
        <v>15.7117038900032</v>
      </c>
      <c r="G159" s="1">
        <v>8.9123107361234702E-2</v>
      </c>
      <c r="H159" s="1">
        <v>39.705781137198201</v>
      </c>
      <c r="I159" s="1">
        <v>137.87147558759801</v>
      </c>
      <c r="J159" s="1">
        <v>2.1744467029348E-4</v>
      </c>
      <c r="K159" s="2">
        <v>0.222</v>
      </c>
      <c r="L159" s="1">
        <v>0.55579999999999996</v>
      </c>
      <c r="M159" s="1">
        <v>1.0121</v>
      </c>
    </row>
    <row r="160" spans="1:13" x14ac:dyDescent="0.2">
      <c r="A160" s="1" t="s">
        <v>143</v>
      </c>
      <c r="B160" s="1">
        <v>38</v>
      </c>
      <c r="C160" s="1" t="s">
        <v>84</v>
      </c>
      <c r="D160" s="1">
        <v>2</v>
      </c>
      <c r="E160" s="1">
        <v>38.5946215889416</v>
      </c>
      <c r="F160" s="1">
        <v>15.7117038900032</v>
      </c>
      <c r="G160" s="1">
        <v>8.9123107361234702E-2</v>
      </c>
      <c r="H160" s="1">
        <v>39.705781137198201</v>
      </c>
      <c r="I160" s="1">
        <v>137.87147558759801</v>
      </c>
      <c r="J160" s="1">
        <v>2.1744467029348E-4</v>
      </c>
      <c r="K160" s="2">
        <v>0.21510000000000001</v>
      </c>
      <c r="L160" s="1">
        <v>0.25559999999999999</v>
      </c>
      <c r="M160" s="1">
        <v>0.61270000000000002</v>
      </c>
    </row>
    <row r="161" spans="1:13" x14ac:dyDescent="0.2">
      <c r="A161" s="1" t="s">
        <v>143</v>
      </c>
      <c r="B161" s="1">
        <v>38</v>
      </c>
      <c r="C161" s="1" t="s">
        <v>85</v>
      </c>
      <c r="D161" s="1">
        <v>2</v>
      </c>
      <c r="E161" s="1">
        <v>38.5946215889416</v>
      </c>
      <c r="F161" s="1">
        <v>15.7117038900032</v>
      </c>
      <c r="G161" s="1">
        <v>8.9123107361234702E-2</v>
      </c>
      <c r="H161" s="1">
        <v>39.705781137198201</v>
      </c>
      <c r="I161" s="1">
        <v>137.87147558759801</v>
      </c>
      <c r="J161" s="1">
        <v>2.1744467029348E-4</v>
      </c>
      <c r="K161" s="2">
        <v>0.54500000000000004</v>
      </c>
      <c r="L161" s="1">
        <v>0.2833</v>
      </c>
      <c r="M161" s="1">
        <v>0.58840000000000003</v>
      </c>
    </row>
    <row r="162" spans="1:13" x14ac:dyDescent="0.2">
      <c r="A162" s="1" t="s">
        <v>144</v>
      </c>
      <c r="B162" s="1">
        <v>39</v>
      </c>
      <c r="C162" s="1" t="s">
        <v>87</v>
      </c>
      <c r="D162" s="1">
        <v>2</v>
      </c>
      <c r="E162" s="1">
        <v>49.265525232069102</v>
      </c>
      <c r="F162" s="1">
        <v>85.1093476489186</v>
      </c>
      <c r="G162" s="1">
        <v>6.7659279191680202E-2</v>
      </c>
      <c r="H162" s="1">
        <v>59.821484407782499</v>
      </c>
      <c r="I162" s="1">
        <v>140.75643429066901</v>
      </c>
      <c r="J162" s="1">
        <v>3.7062495880294502E-3</v>
      </c>
      <c r="K162" s="2">
        <v>0.74980000000000002</v>
      </c>
      <c r="L162" s="1">
        <v>0.23580000000000001</v>
      </c>
      <c r="M162" s="1">
        <v>0.51280000000000003</v>
      </c>
    </row>
    <row r="163" spans="1:13" x14ac:dyDescent="0.2">
      <c r="A163" s="1" t="s">
        <v>144</v>
      </c>
      <c r="B163" s="1">
        <v>39</v>
      </c>
      <c r="C163" s="1" t="s">
        <v>88</v>
      </c>
      <c r="D163" s="1">
        <v>2</v>
      </c>
      <c r="E163" s="1">
        <v>49.265525232069102</v>
      </c>
      <c r="F163" s="1">
        <v>85.1093476489186</v>
      </c>
      <c r="G163" s="1">
        <v>6.7659279191680202E-2</v>
      </c>
      <c r="H163" s="1">
        <v>59.821484407782499</v>
      </c>
      <c r="I163" s="1">
        <v>140.75643429066901</v>
      </c>
      <c r="J163" s="1">
        <v>3.7062495880294502E-3</v>
      </c>
      <c r="K163" s="2">
        <v>0.1067</v>
      </c>
      <c r="L163" s="1">
        <v>0.25659999999999999</v>
      </c>
      <c r="M163" s="1">
        <v>0.53339999999999999</v>
      </c>
    </row>
    <row r="164" spans="1:13" x14ac:dyDescent="0.2">
      <c r="A164" s="1" t="s">
        <v>144</v>
      </c>
      <c r="B164" s="1">
        <v>39</v>
      </c>
      <c r="C164" s="1" t="s">
        <v>89</v>
      </c>
      <c r="D164" s="1">
        <v>2</v>
      </c>
      <c r="E164" s="1">
        <v>49.265525232069102</v>
      </c>
      <c r="F164" s="1">
        <v>85.1093476489186</v>
      </c>
      <c r="G164" s="1">
        <v>6.7659279191680202E-2</v>
      </c>
      <c r="H164" s="1">
        <v>59.821484407782499</v>
      </c>
      <c r="I164" s="1">
        <v>140.75643429066901</v>
      </c>
      <c r="J164" s="1">
        <v>3.7062495880294502E-3</v>
      </c>
      <c r="K164" s="2">
        <v>0.1157</v>
      </c>
      <c r="L164" s="1">
        <v>0.2432</v>
      </c>
      <c r="M164" s="1">
        <v>0.58760000000000001</v>
      </c>
    </row>
    <row r="165" spans="1:13" x14ac:dyDescent="0.2">
      <c r="A165" s="1" t="s">
        <v>144</v>
      </c>
      <c r="B165" s="1">
        <v>39</v>
      </c>
      <c r="C165" s="1" t="s">
        <v>90</v>
      </c>
      <c r="D165" s="1">
        <v>2</v>
      </c>
      <c r="E165" s="1">
        <v>49.265525232069102</v>
      </c>
      <c r="F165" s="1">
        <v>85.1093476489186</v>
      </c>
      <c r="G165" s="1">
        <v>6.7659279191680202E-2</v>
      </c>
      <c r="H165" s="1">
        <v>59.821484407782499</v>
      </c>
      <c r="I165" s="1">
        <v>140.75643429066901</v>
      </c>
      <c r="J165" s="1">
        <v>3.7062495880294502E-3</v>
      </c>
      <c r="K165" s="2">
        <v>0.126</v>
      </c>
      <c r="L165" s="1">
        <v>0.24099999999999999</v>
      </c>
      <c r="M165" s="1">
        <v>0.56679999999999997</v>
      </c>
    </row>
    <row r="166" spans="1:13" x14ac:dyDescent="0.2">
      <c r="A166" s="1" t="s">
        <v>145</v>
      </c>
      <c r="B166" s="1">
        <v>40</v>
      </c>
      <c r="C166" s="1" t="s">
        <v>92</v>
      </c>
      <c r="D166" s="1">
        <v>2</v>
      </c>
      <c r="E166" s="1">
        <v>45.381528395228003</v>
      </c>
      <c r="F166" s="1">
        <v>9.4115784196182997</v>
      </c>
      <c r="G166" s="1">
        <v>1.44572113450616E-2</v>
      </c>
      <c r="H166" s="1">
        <v>26.8306031621992</v>
      </c>
      <c r="I166" s="1">
        <v>67.9171739984303</v>
      </c>
      <c r="J166" s="1">
        <v>4.3032996600493702E-3</v>
      </c>
      <c r="K166" s="2">
        <v>0.27079999999999999</v>
      </c>
      <c r="L166" s="1">
        <v>1.2454000000000001</v>
      </c>
      <c r="M166" s="1">
        <v>0.28599999999999998</v>
      </c>
    </row>
    <row r="167" spans="1:13" x14ac:dyDescent="0.2">
      <c r="A167" s="1" t="s">
        <v>145</v>
      </c>
      <c r="B167" s="1">
        <v>40</v>
      </c>
      <c r="C167" s="1" t="s">
        <v>93</v>
      </c>
      <c r="D167" s="1">
        <v>2</v>
      </c>
      <c r="E167" s="1">
        <v>45.381528395228003</v>
      </c>
      <c r="F167" s="1">
        <v>9.4115784196182997</v>
      </c>
      <c r="G167" s="1">
        <v>1.44572113450616E-2</v>
      </c>
      <c r="H167" s="1">
        <v>26.8306031621992</v>
      </c>
      <c r="I167" s="1">
        <v>67.9171739984303</v>
      </c>
      <c r="J167" s="1">
        <v>4.3032996600493702E-3</v>
      </c>
      <c r="K167" s="2">
        <v>0.2472</v>
      </c>
      <c r="L167" s="1">
        <v>1.1821999999999999</v>
      </c>
      <c r="M167" s="1">
        <v>0.28460000000000002</v>
      </c>
    </row>
    <row r="168" spans="1:13" x14ac:dyDescent="0.2">
      <c r="A168" s="1" t="s">
        <v>145</v>
      </c>
      <c r="B168" s="1">
        <v>40</v>
      </c>
      <c r="C168" s="1" t="s">
        <v>94</v>
      </c>
      <c r="D168" s="1">
        <v>2</v>
      </c>
      <c r="E168" s="1">
        <v>45.381528395228003</v>
      </c>
      <c r="F168" s="1">
        <v>9.4115784196182997</v>
      </c>
      <c r="G168" s="1">
        <v>1.44572113450616E-2</v>
      </c>
      <c r="H168" s="1">
        <v>26.8306031621992</v>
      </c>
      <c r="I168" s="1">
        <v>67.9171739984303</v>
      </c>
      <c r="J168" s="1">
        <v>4.3032996600493702E-3</v>
      </c>
      <c r="K168" s="2">
        <v>0.22839999999999999</v>
      </c>
      <c r="L168" s="1">
        <v>1.3748</v>
      </c>
      <c r="M168" s="1">
        <v>0.31690000000000002</v>
      </c>
    </row>
    <row r="169" spans="1:13" x14ac:dyDescent="0.2">
      <c r="A169" s="1" t="s">
        <v>145</v>
      </c>
      <c r="B169" s="1">
        <v>40</v>
      </c>
      <c r="C169" s="1" t="s">
        <v>95</v>
      </c>
      <c r="D169" s="1">
        <v>2</v>
      </c>
      <c r="E169" s="1">
        <v>45.381528395228003</v>
      </c>
      <c r="F169" s="1">
        <v>9.4115784196182997</v>
      </c>
      <c r="G169" s="1">
        <v>1.44572113450616E-2</v>
      </c>
      <c r="H169" s="1">
        <v>26.8306031621992</v>
      </c>
      <c r="I169" s="1">
        <v>67.9171739984303</v>
      </c>
      <c r="J169" s="1">
        <v>4.3032996600493702E-3</v>
      </c>
      <c r="K169" s="2">
        <v>0.22070000000000001</v>
      </c>
      <c r="L169" s="1">
        <v>0.64910000000000001</v>
      </c>
      <c r="M169" s="1">
        <v>0.50780000000000003</v>
      </c>
    </row>
    <row r="170" spans="1:13" x14ac:dyDescent="0.2">
      <c r="A170" s="1" t="s">
        <v>146</v>
      </c>
      <c r="B170" s="1">
        <v>41</v>
      </c>
      <c r="C170" s="1" t="s">
        <v>97</v>
      </c>
      <c r="D170" s="1">
        <v>2</v>
      </c>
      <c r="E170" s="1">
        <v>2.9006339437328199</v>
      </c>
      <c r="F170" s="1">
        <v>70.376578887924495</v>
      </c>
      <c r="G170" s="1">
        <v>5.2152873143739904E-2</v>
      </c>
      <c r="H170" s="1">
        <v>112.10436735078601</v>
      </c>
      <c r="I170" s="1">
        <v>52.931158673018203</v>
      </c>
      <c r="J170" s="1">
        <v>4.18659281847067E-3</v>
      </c>
      <c r="K170" s="2">
        <v>0.1196</v>
      </c>
      <c r="L170" s="1">
        <v>0.24460000000000001</v>
      </c>
      <c r="M170" s="1">
        <v>0.20680000000000001</v>
      </c>
    </row>
    <row r="171" spans="1:13" x14ac:dyDescent="0.2">
      <c r="A171" s="1" t="s">
        <v>146</v>
      </c>
      <c r="B171" s="1">
        <v>41</v>
      </c>
      <c r="C171" s="1" t="s">
        <v>98</v>
      </c>
      <c r="D171" s="1">
        <v>2</v>
      </c>
      <c r="E171" s="1">
        <v>2.9006339437328199</v>
      </c>
      <c r="F171" s="1">
        <v>70.376578887924495</v>
      </c>
      <c r="G171" s="1">
        <v>5.2152873143739904E-2</v>
      </c>
      <c r="H171" s="1">
        <v>112.10436735078601</v>
      </c>
      <c r="I171" s="1">
        <v>52.931158673018203</v>
      </c>
      <c r="J171" s="1">
        <v>4.18659281847067E-3</v>
      </c>
      <c r="K171" s="2">
        <v>0.1138</v>
      </c>
      <c r="L171" s="1">
        <v>0.18210000000000001</v>
      </c>
      <c r="M171" s="1">
        <v>0.44840000000000002</v>
      </c>
    </row>
    <row r="172" spans="1:13" x14ac:dyDescent="0.2">
      <c r="A172" s="1" t="s">
        <v>146</v>
      </c>
      <c r="B172" s="1">
        <v>41</v>
      </c>
      <c r="C172" s="1" t="s">
        <v>99</v>
      </c>
      <c r="D172" s="1">
        <v>2</v>
      </c>
      <c r="E172" s="1">
        <v>2.9006339437328199</v>
      </c>
      <c r="F172" s="1">
        <v>70.376578887924495</v>
      </c>
      <c r="G172" s="1">
        <v>5.2152873143739904E-2</v>
      </c>
      <c r="H172" s="1">
        <v>112.10436735078601</v>
      </c>
      <c r="I172" s="1">
        <v>52.931158673018203</v>
      </c>
      <c r="J172" s="1">
        <v>4.18659281847067E-3</v>
      </c>
      <c r="K172" s="2">
        <v>0.13139999999999999</v>
      </c>
      <c r="L172" s="1">
        <v>0.2651</v>
      </c>
      <c r="M172" s="1">
        <v>0.3342</v>
      </c>
    </row>
    <row r="173" spans="1:13" x14ac:dyDescent="0.2">
      <c r="A173" s="1" t="s">
        <v>146</v>
      </c>
      <c r="B173" s="1">
        <v>41</v>
      </c>
      <c r="C173" s="1" t="s">
        <v>100</v>
      </c>
      <c r="D173" s="1">
        <v>2</v>
      </c>
      <c r="E173" s="1">
        <v>2.9006339437328199</v>
      </c>
      <c r="F173" s="1">
        <v>70.376578887924495</v>
      </c>
      <c r="G173" s="1">
        <v>5.2152873143739904E-2</v>
      </c>
      <c r="H173" s="1">
        <v>112.10436735078601</v>
      </c>
      <c r="I173" s="1">
        <v>52.931158673018203</v>
      </c>
      <c r="J173" s="1">
        <v>4.18659281847067E-3</v>
      </c>
      <c r="K173" s="2">
        <v>0.12570000000000001</v>
      </c>
      <c r="L173" s="1">
        <v>0.24099999999999999</v>
      </c>
      <c r="M173" s="1">
        <v>0.33910000000000001</v>
      </c>
    </row>
    <row r="174" spans="1:13" x14ac:dyDescent="0.2">
      <c r="A174" s="1" t="s">
        <v>147</v>
      </c>
      <c r="B174" s="1">
        <v>42</v>
      </c>
      <c r="C174" s="1" t="s">
        <v>102</v>
      </c>
      <c r="D174" s="1">
        <v>2</v>
      </c>
      <c r="E174" s="1">
        <v>14.0142893805168</v>
      </c>
      <c r="F174" s="1">
        <v>82.397163473069597</v>
      </c>
      <c r="G174" s="1">
        <v>5.9735033140703997E-2</v>
      </c>
      <c r="H174" s="1">
        <v>83.632818857580403</v>
      </c>
      <c r="I174" s="1">
        <v>88.549468168057501</v>
      </c>
      <c r="J174" s="1">
        <v>3.88419529017992E-3</v>
      </c>
      <c r="K174" s="2">
        <v>0.12590000000000001</v>
      </c>
      <c r="L174" s="1">
        <v>0.27839999999999998</v>
      </c>
      <c r="M174" s="1">
        <v>0.31640000000000001</v>
      </c>
    </row>
    <row r="175" spans="1:13" x14ac:dyDescent="0.2">
      <c r="A175" s="1" t="s">
        <v>147</v>
      </c>
      <c r="B175" s="1">
        <v>42</v>
      </c>
      <c r="C175" s="1" t="s">
        <v>103</v>
      </c>
      <c r="D175" s="1">
        <v>2</v>
      </c>
      <c r="E175" s="1">
        <v>14.0142893805168</v>
      </c>
      <c r="F175" s="1">
        <v>82.397163473069597</v>
      </c>
      <c r="G175" s="1">
        <v>5.9735033140703997E-2</v>
      </c>
      <c r="H175" s="1">
        <v>83.632818857580403</v>
      </c>
      <c r="I175" s="1">
        <v>88.549468168057501</v>
      </c>
      <c r="J175" s="1">
        <v>3.88419529017992E-3</v>
      </c>
      <c r="K175" s="2">
        <v>0.12189999999999999</v>
      </c>
      <c r="L175" s="1">
        <v>0.26769999999999999</v>
      </c>
      <c r="M175" s="1">
        <v>0.26250000000000001</v>
      </c>
    </row>
    <row r="176" spans="1:13" x14ac:dyDescent="0.2">
      <c r="A176" s="1" t="s">
        <v>147</v>
      </c>
      <c r="B176" s="1">
        <v>42</v>
      </c>
      <c r="C176" s="1" t="s">
        <v>104</v>
      </c>
      <c r="D176" s="1">
        <v>2</v>
      </c>
      <c r="E176" s="1">
        <v>14.0142893805168</v>
      </c>
      <c r="F176" s="1">
        <v>82.397163473069597</v>
      </c>
      <c r="G176" s="1">
        <v>5.9735033140703997E-2</v>
      </c>
      <c r="H176" s="1">
        <v>83.632818857580403</v>
      </c>
      <c r="I176" s="1">
        <v>88.549468168057501</v>
      </c>
      <c r="J176" s="1">
        <v>3.88419529017992E-3</v>
      </c>
      <c r="K176" s="2">
        <v>0.16750000000000001</v>
      </c>
      <c r="L176" s="1">
        <v>0.28410000000000002</v>
      </c>
      <c r="M176" s="1">
        <v>0.23730000000000001</v>
      </c>
    </row>
    <row r="177" spans="1:13" x14ac:dyDescent="0.2">
      <c r="A177" s="1" t="s">
        <v>147</v>
      </c>
      <c r="B177" s="1">
        <v>42</v>
      </c>
      <c r="C177" s="1" t="s">
        <v>105</v>
      </c>
      <c r="D177" s="1">
        <v>2</v>
      </c>
      <c r="E177" s="1">
        <v>14.0142893805168</v>
      </c>
      <c r="F177" s="1">
        <v>82.397163473069597</v>
      </c>
      <c r="G177" s="1">
        <v>5.9735033140703997E-2</v>
      </c>
      <c r="H177" s="1">
        <v>83.632818857580403</v>
      </c>
      <c r="I177" s="1">
        <v>88.549468168057501</v>
      </c>
      <c r="J177" s="1">
        <v>3.88419529017992E-3</v>
      </c>
      <c r="K177" s="2">
        <v>0.4879</v>
      </c>
      <c r="L177" s="1">
        <v>0.26740000000000003</v>
      </c>
      <c r="M177" s="1">
        <v>0.22900000000000001</v>
      </c>
    </row>
    <row r="178" spans="1:13" x14ac:dyDescent="0.2">
      <c r="A178" s="1" t="s">
        <v>148</v>
      </c>
      <c r="B178" s="1">
        <v>43</v>
      </c>
      <c r="C178" s="1" t="s">
        <v>107</v>
      </c>
      <c r="D178" s="1">
        <v>2</v>
      </c>
      <c r="E178" s="1">
        <v>13.3884764108806</v>
      </c>
      <c r="F178" s="1">
        <v>45.011577722616401</v>
      </c>
      <c r="G178" s="1">
        <v>9.7785456410236601E-2</v>
      </c>
      <c r="H178" s="1">
        <v>115.496334759145</v>
      </c>
      <c r="I178" s="1">
        <v>76.261249138042302</v>
      </c>
      <c r="J178" s="1">
        <v>4.4302712501492298E-3</v>
      </c>
      <c r="K178" s="2">
        <v>0.13350000000000001</v>
      </c>
      <c r="L178" s="1">
        <v>0.24490000000000001</v>
      </c>
      <c r="M178" s="1">
        <v>0.3201</v>
      </c>
    </row>
    <row r="179" spans="1:13" x14ac:dyDescent="0.2">
      <c r="A179" s="1" t="s">
        <v>148</v>
      </c>
      <c r="B179" s="1">
        <v>43</v>
      </c>
      <c r="C179" s="1" t="s">
        <v>108</v>
      </c>
      <c r="D179" s="1">
        <v>2</v>
      </c>
      <c r="E179" s="1">
        <v>13.3884764108806</v>
      </c>
      <c r="F179" s="1">
        <v>45.011577722616401</v>
      </c>
      <c r="G179" s="1">
        <v>9.7785456410236601E-2</v>
      </c>
      <c r="H179" s="1">
        <v>115.496334759145</v>
      </c>
      <c r="I179" s="1">
        <v>76.261249138042302</v>
      </c>
      <c r="J179" s="1">
        <v>4.4302712501492298E-3</v>
      </c>
      <c r="K179" s="2">
        <v>9.9900000000000003E-2</v>
      </c>
      <c r="L179" s="1">
        <v>0.21820000000000001</v>
      </c>
      <c r="M179" s="1">
        <v>0.39</v>
      </c>
    </row>
    <row r="180" spans="1:13" x14ac:dyDescent="0.2">
      <c r="A180" s="1" t="s">
        <v>148</v>
      </c>
      <c r="B180" s="1">
        <v>43</v>
      </c>
      <c r="C180" s="1" t="s">
        <v>109</v>
      </c>
      <c r="D180" s="1">
        <v>2</v>
      </c>
      <c r="E180" s="1">
        <v>13.3884764108806</v>
      </c>
      <c r="F180" s="1">
        <v>45.011577722616401</v>
      </c>
      <c r="G180" s="1">
        <v>9.7785456410236601E-2</v>
      </c>
      <c r="H180" s="1">
        <v>115.496334759145</v>
      </c>
      <c r="I180" s="1">
        <v>76.261249138042302</v>
      </c>
      <c r="J180" s="1">
        <v>4.4302712501492298E-3</v>
      </c>
      <c r="K180" s="2">
        <v>0.1222</v>
      </c>
      <c r="L180" s="1">
        <v>0.2999</v>
      </c>
      <c r="M180" s="1">
        <v>0.318</v>
      </c>
    </row>
    <row r="181" spans="1:13" x14ac:dyDescent="0.2">
      <c r="A181" s="1" t="s">
        <v>148</v>
      </c>
      <c r="B181" s="1">
        <v>43</v>
      </c>
      <c r="C181" s="1" t="s">
        <v>110</v>
      </c>
      <c r="D181" s="1">
        <v>2</v>
      </c>
      <c r="E181" s="1">
        <v>13.3884764108806</v>
      </c>
      <c r="F181" s="1">
        <v>45.011577722616401</v>
      </c>
      <c r="G181" s="1">
        <v>9.7785456410236601E-2</v>
      </c>
      <c r="H181" s="1">
        <v>115.496334759145</v>
      </c>
      <c r="I181" s="1">
        <v>76.261249138042302</v>
      </c>
      <c r="J181" s="1">
        <v>4.4302712501492298E-3</v>
      </c>
      <c r="K181" s="2">
        <v>0.1298</v>
      </c>
      <c r="L181" s="1">
        <v>0.2671</v>
      </c>
      <c r="M181" s="1">
        <v>0.3458</v>
      </c>
    </row>
    <row r="182" spans="1:13" x14ac:dyDescent="0.2">
      <c r="A182" s="1" t="s">
        <v>149</v>
      </c>
      <c r="B182" s="1">
        <v>44</v>
      </c>
      <c r="C182" s="1" t="s">
        <v>112</v>
      </c>
      <c r="D182" s="1">
        <v>2</v>
      </c>
      <c r="E182" s="1">
        <v>41.0524208960123</v>
      </c>
      <c r="F182" s="1">
        <v>74.397865959443095</v>
      </c>
      <c r="G182" s="1">
        <v>6.8394354381039704E-2</v>
      </c>
      <c r="H182" s="1">
        <v>145.22503105029401</v>
      </c>
      <c r="I182" s="1">
        <v>17.9339553695172</v>
      </c>
      <c r="J182" s="1">
        <v>4.95979640008881E-3</v>
      </c>
      <c r="K182" s="2">
        <v>0.312</v>
      </c>
      <c r="L182" s="1">
        <v>0.14269999999999999</v>
      </c>
      <c r="M182" s="1">
        <v>1.403</v>
      </c>
    </row>
    <row r="183" spans="1:13" x14ac:dyDescent="0.2">
      <c r="A183" s="1" t="s">
        <v>149</v>
      </c>
      <c r="B183" s="1">
        <v>44</v>
      </c>
      <c r="C183" s="1" t="s">
        <v>113</v>
      </c>
      <c r="D183" s="1">
        <v>2</v>
      </c>
      <c r="E183" s="1">
        <v>41.0524208960123</v>
      </c>
      <c r="F183" s="1">
        <v>74.397865959443095</v>
      </c>
      <c r="G183" s="1">
        <v>6.8394354381039704E-2</v>
      </c>
      <c r="H183" s="1">
        <v>145.22503105029401</v>
      </c>
      <c r="I183" s="1">
        <v>17.9339553695172</v>
      </c>
      <c r="J183" s="1">
        <v>4.95979640008881E-3</v>
      </c>
      <c r="K183" s="2">
        <v>0.1065</v>
      </c>
      <c r="L183" s="1">
        <v>0.14630000000000001</v>
      </c>
      <c r="M183" s="1">
        <v>0.46960000000000002</v>
      </c>
    </row>
    <row r="184" spans="1:13" x14ac:dyDescent="0.2">
      <c r="A184" s="1" t="s">
        <v>149</v>
      </c>
      <c r="B184" s="1">
        <v>44</v>
      </c>
      <c r="C184" s="1" t="s">
        <v>114</v>
      </c>
      <c r="D184" s="1">
        <v>2</v>
      </c>
      <c r="E184" s="1">
        <v>41.0524208960123</v>
      </c>
      <c r="F184" s="1">
        <v>74.397865959443095</v>
      </c>
      <c r="G184" s="1">
        <v>6.8394354381039704E-2</v>
      </c>
      <c r="H184" s="1">
        <v>145.22503105029401</v>
      </c>
      <c r="I184" s="1">
        <v>17.9339553695172</v>
      </c>
      <c r="J184" s="1">
        <v>4.95979640008881E-3</v>
      </c>
      <c r="K184" s="2">
        <v>0.1138</v>
      </c>
      <c r="L184" s="1">
        <v>0.1353</v>
      </c>
      <c r="M184" s="1">
        <v>0.25509999999999999</v>
      </c>
    </row>
    <row r="185" spans="1:13" x14ac:dyDescent="0.2">
      <c r="A185" s="1" t="s">
        <v>149</v>
      </c>
      <c r="B185" s="1">
        <v>44</v>
      </c>
      <c r="C185" s="1" t="s">
        <v>115</v>
      </c>
      <c r="D185" s="1">
        <v>2</v>
      </c>
      <c r="E185" s="1">
        <v>41.0524208960123</v>
      </c>
      <c r="F185" s="1">
        <v>74.397865959443095</v>
      </c>
      <c r="G185" s="1">
        <v>6.8394354381039704E-2</v>
      </c>
      <c r="H185" s="1">
        <v>145.22503105029401</v>
      </c>
      <c r="I185" s="1">
        <v>17.9339553695172</v>
      </c>
      <c r="J185" s="1">
        <v>4.95979640008881E-3</v>
      </c>
      <c r="K185" s="2">
        <v>0.1061</v>
      </c>
      <c r="L185" s="1">
        <v>0.1399</v>
      </c>
      <c r="M185" s="1">
        <v>0.20349999999999999</v>
      </c>
    </row>
    <row r="186" spans="1:13" x14ac:dyDescent="0.2">
      <c r="A186" s="1" t="s">
        <v>150</v>
      </c>
      <c r="B186" s="1">
        <v>45</v>
      </c>
      <c r="C186" s="1" t="s">
        <v>117</v>
      </c>
      <c r="D186" s="1">
        <v>2</v>
      </c>
      <c r="E186" s="1">
        <v>8.8780504255555499</v>
      </c>
      <c r="F186" s="1">
        <v>24.545445496216399</v>
      </c>
      <c r="G186" s="1">
        <v>9.2294273603335003E-2</v>
      </c>
      <c r="H186" s="1">
        <v>9.7242871344089501</v>
      </c>
      <c r="I186" s="1">
        <v>126.22437483631001</v>
      </c>
      <c r="J186" s="1">
        <v>2.3786963909398699E-3</v>
      </c>
      <c r="K186" s="2">
        <v>0.22059999999999999</v>
      </c>
      <c r="L186" s="1">
        <v>0.39789999999999998</v>
      </c>
      <c r="M186" s="1">
        <v>0.1827</v>
      </c>
    </row>
    <row r="187" spans="1:13" x14ac:dyDescent="0.2">
      <c r="A187" s="1" t="s">
        <v>150</v>
      </c>
      <c r="B187" s="1">
        <v>45</v>
      </c>
      <c r="C187" s="1" t="s">
        <v>118</v>
      </c>
      <c r="D187" s="1">
        <v>2</v>
      </c>
      <c r="E187" s="1">
        <v>8.8780504255555499</v>
      </c>
      <c r="F187" s="1">
        <v>24.545445496216399</v>
      </c>
      <c r="G187" s="1">
        <v>9.2294273603335003E-2</v>
      </c>
      <c r="H187" s="1">
        <v>9.7242871344089501</v>
      </c>
      <c r="I187" s="1">
        <v>126.22437483631001</v>
      </c>
      <c r="J187" s="1">
        <v>2.3786963909398699E-3</v>
      </c>
      <c r="K187" s="2">
        <v>0.20169999999999999</v>
      </c>
      <c r="L187" s="1">
        <v>0.30470000000000003</v>
      </c>
      <c r="M187" s="1">
        <v>0.183</v>
      </c>
    </row>
    <row r="188" spans="1:13" x14ac:dyDescent="0.2">
      <c r="A188" s="1" t="s">
        <v>150</v>
      </c>
      <c r="B188" s="1">
        <v>45</v>
      </c>
      <c r="C188" s="1" t="s">
        <v>119</v>
      </c>
      <c r="D188" s="1">
        <v>2</v>
      </c>
      <c r="E188" s="1">
        <v>8.8780504255555499</v>
      </c>
      <c r="F188" s="1">
        <v>24.545445496216399</v>
      </c>
      <c r="G188" s="1">
        <v>9.2294273603335003E-2</v>
      </c>
      <c r="H188" s="1">
        <v>9.7242871344089501</v>
      </c>
      <c r="I188" s="1">
        <v>126.22437483631001</v>
      </c>
      <c r="J188" s="1">
        <v>2.3786963909398699E-3</v>
      </c>
      <c r="K188" s="2">
        <v>0.27450000000000002</v>
      </c>
      <c r="L188" s="1">
        <v>0.36649999999999999</v>
      </c>
      <c r="M188" s="1">
        <v>0.21940000000000001</v>
      </c>
    </row>
    <row r="189" spans="1:13" x14ac:dyDescent="0.2">
      <c r="A189" s="1" t="s">
        <v>150</v>
      </c>
      <c r="B189" s="1">
        <v>45</v>
      </c>
      <c r="C189" s="1" t="s">
        <v>120</v>
      </c>
      <c r="D189" s="1">
        <v>2</v>
      </c>
      <c r="E189" s="1">
        <v>8.8780504255555499</v>
      </c>
      <c r="F189" s="1">
        <v>24.545445496216399</v>
      </c>
      <c r="G189" s="1">
        <v>9.2294273603335003E-2</v>
      </c>
      <c r="H189" s="1">
        <v>9.7242871344089501</v>
      </c>
      <c r="I189" s="1">
        <v>126.22437483631001</v>
      </c>
      <c r="J189" s="1">
        <v>2.3786963909398699E-3</v>
      </c>
      <c r="K189" s="2">
        <v>0.2681</v>
      </c>
      <c r="L189" s="1">
        <v>0.4728</v>
      </c>
      <c r="M189" s="1">
        <v>0.19040000000000001</v>
      </c>
    </row>
    <row r="190" spans="1:13" x14ac:dyDescent="0.2">
      <c r="A190" s="1" t="s">
        <v>151</v>
      </c>
      <c r="B190" s="1">
        <v>46</v>
      </c>
      <c r="C190" s="1" t="s">
        <v>122</v>
      </c>
      <c r="D190" s="1">
        <v>2</v>
      </c>
      <c r="E190" s="1">
        <v>31.139175069983999</v>
      </c>
      <c r="F190" s="1">
        <v>7.7848107563331697</v>
      </c>
      <c r="G190" s="1">
        <v>4.6431578644178802E-2</v>
      </c>
      <c r="H190" s="1">
        <v>138.46549623161499</v>
      </c>
      <c r="I190" s="1">
        <v>128.810943989083</v>
      </c>
      <c r="J190" s="1">
        <v>4.3120652351994002E-3</v>
      </c>
      <c r="K190" s="2">
        <v>0.123</v>
      </c>
      <c r="L190" s="1">
        <v>0.23449999999999999</v>
      </c>
      <c r="M190" s="1">
        <v>0.1275</v>
      </c>
    </row>
    <row r="191" spans="1:13" x14ac:dyDescent="0.2">
      <c r="A191" s="1" t="s">
        <v>151</v>
      </c>
      <c r="B191" s="1">
        <v>46</v>
      </c>
      <c r="C191" s="1" t="s">
        <v>123</v>
      </c>
      <c r="D191" s="1">
        <v>2</v>
      </c>
      <c r="E191" s="1">
        <v>31.139175069983999</v>
      </c>
      <c r="F191" s="1">
        <v>7.7848107563331697</v>
      </c>
      <c r="G191" s="1">
        <v>4.6431578644178802E-2</v>
      </c>
      <c r="H191" s="1">
        <v>138.46549623161499</v>
      </c>
      <c r="I191" s="1">
        <v>128.810943989083</v>
      </c>
      <c r="J191" s="1">
        <v>4.3120652351994002E-3</v>
      </c>
      <c r="K191" s="2">
        <v>0.1275</v>
      </c>
      <c r="L191" s="1">
        <v>0.27779999999999999</v>
      </c>
      <c r="M191" s="1">
        <v>0.217</v>
      </c>
    </row>
    <row r="192" spans="1:13" x14ac:dyDescent="0.2">
      <c r="A192" s="1" t="s">
        <v>151</v>
      </c>
      <c r="B192" s="1">
        <v>46</v>
      </c>
      <c r="C192" s="1" t="s">
        <v>124</v>
      </c>
      <c r="D192" s="1">
        <v>2</v>
      </c>
      <c r="E192" s="1">
        <v>31.139175069983999</v>
      </c>
      <c r="F192" s="1">
        <v>7.7848107563331697</v>
      </c>
      <c r="G192" s="1">
        <v>4.6431578644178802E-2</v>
      </c>
      <c r="H192" s="1">
        <v>138.46549623161499</v>
      </c>
      <c r="I192" s="1">
        <v>128.810943989083</v>
      </c>
      <c r="J192" s="1">
        <v>4.3120652351994002E-3</v>
      </c>
      <c r="K192" s="2">
        <v>0.24840000000000001</v>
      </c>
      <c r="L192" s="1">
        <v>0.26429999999999998</v>
      </c>
      <c r="M192" s="1">
        <v>0.1361</v>
      </c>
    </row>
    <row r="193" spans="1:13" x14ac:dyDescent="0.2">
      <c r="A193" s="1" t="s">
        <v>151</v>
      </c>
      <c r="B193" s="1">
        <v>46</v>
      </c>
      <c r="C193" s="3" t="s">
        <v>125</v>
      </c>
      <c r="D193" s="1">
        <v>2</v>
      </c>
      <c r="E193" s="1">
        <v>31.139175069983999</v>
      </c>
      <c r="F193" s="1">
        <v>7.7848107563331697</v>
      </c>
      <c r="G193" s="1">
        <v>4.6431578644178802E-2</v>
      </c>
      <c r="H193" s="1">
        <v>138.46549623161499</v>
      </c>
      <c r="I193" s="1">
        <v>128.810943989083</v>
      </c>
      <c r="J193" s="1">
        <v>4.3120652351994002E-3</v>
      </c>
      <c r="K193" s="2">
        <v>0.12740000000000001</v>
      </c>
      <c r="L193" s="1">
        <v>0.31380000000000002</v>
      </c>
      <c r="M193" s="1">
        <v>0.44069999999999998</v>
      </c>
    </row>
    <row r="194" spans="1:13" x14ac:dyDescent="0.2">
      <c r="A194" s="1" t="s">
        <v>180</v>
      </c>
      <c r="B194" s="1">
        <v>0</v>
      </c>
      <c r="C194" s="1" t="s">
        <v>7</v>
      </c>
      <c r="D194" s="1">
        <v>3</v>
      </c>
      <c r="E194" s="1">
        <v>25</v>
      </c>
      <c r="F194" s="1">
        <v>50</v>
      </c>
      <c r="G194" s="1">
        <v>1E-3</v>
      </c>
      <c r="H194" s="1">
        <v>15</v>
      </c>
      <c r="I194" s="1">
        <v>125</v>
      </c>
      <c r="J194" s="1">
        <v>1E-3</v>
      </c>
      <c r="K194" s="2">
        <v>0.1154</v>
      </c>
      <c r="L194" s="1">
        <v>0.1305</v>
      </c>
      <c r="M194" s="1">
        <v>0.1666</v>
      </c>
    </row>
    <row r="195" spans="1:13" x14ac:dyDescent="0.2">
      <c r="A195" s="1" t="s">
        <v>180</v>
      </c>
      <c r="B195" s="1">
        <v>0</v>
      </c>
      <c r="C195" s="1" t="s">
        <v>8</v>
      </c>
      <c r="D195" s="1">
        <v>3</v>
      </c>
      <c r="E195" s="1">
        <v>25</v>
      </c>
      <c r="F195" s="1">
        <v>50</v>
      </c>
      <c r="G195" s="1">
        <v>1E-3</v>
      </c>
      <c r="H195" s="1">
        <v>15</v>
      </c>
      <c r="I195" s="1">
        <v>125</v>
      </c>
      <c r="J195" s="1">
        <v>1E-3</v>
      </c>
      <c r="K195" s="2">
        <v>0.40450000000000003</v>
      </c>
      <c r="L195" s="1">
        <v>0.12959999999999999</v>
      </c>
      <c r="M195" s="1">
        <v>0.28289999999999998</v>
      </c>
    </row>
    <row r="196" spans="1:13" x14ac:dyDescent="0.2">
      <c r="A196" s="1" t="s">
        <v>180</v>
      </c>
      <c r="B196" s="1">
        <v>0</v>
      </c>
      <c r="C196" s="1" t="s">
        <v>9</v>
      </c>
      <c r="D196" s="1">
        <v>3</v>
      </c>
      <c r="E196" s="1">
        <v>25</v>
      </c>
      <c r="F196" s="1">
        <v>50</v>
      </c>
      <c r="G196" s="1">
        <v>1E-3</v>
      </c>
      <c r="H196" s="1">
        <v>15</v>
      </c>
      <c r="I196" s="1">
        <v>125</v>
      </c>
      <c r="J196" s="1">
        <v>1E-3</v>
      </c>
      <c r="K196" s="2">
        <v>0.3916</v>
      </c>
      <c r="L196" s="1">
        <v>0.14419999999999999</v>
      </c>
      <c r="M196" s="1">
        <v>0.31830000000000003</v>
      </c>
    </row>
    <row r="197" spans="1:13" x14ac:dyDescent="0.2">
      <c r="A197" s="1" t="s">
        <v>180</v>
      </c>
      <c r="B197" s="1">
        <v>0</v>
      </c>
      <c r="C197" s="1" t="s">
        <v>10</v>
      </c>
      <c r="D197" s="1">
        <v>3</v>
      </c>
      <c r="E197" s="1">
        <v>25</v>
      </c>
      <c r="F197" s="1">
        <v>50</v>
      </c>
      <c r="G197" s="1">
        <v>1E-3</v>
      </c>
      <c r="H197" s="1">
        <v>15</v>
      </c>
      <c r="I197" s="1">
        <v>125</v>
      </c>
      <c r="J197" s="1">
        <v>1E-3</v>
      </c>
      <c r="K197" s="2">
        <v>0.23319999999999999</v>
      </c>
      <c r="L197" s="1">
        <v>0.1399</v>
      </c>
      <c r="M197" s="1">
        <v>0.34839999999999999</v>
      </c>
    </row>
    <row r="198" spans="1:13" x14ac:dyDescent="0.2">
      <c r="A198" s="1" t="s">
        <v>152</v>
      </c>
      <c r="B198" s="1">
        <v>47</v>
      </c>
      <c r="C198" s="1" t="s">
        <v>12</v>
      </c>
      <c r="D198" s="1">
        <v>3</v>
      </c>
      <c r="E198" s="1">
        <v>26.319395032711299</v>
      </c>
      <c r="F198" s="1">
        <v>80.4390563527122</v>
      </c>
      <c r="G198" s="1">
        <v>4.2385416500829103E-2</v>
      </c>
      <c r="H198" s="1">
        <v>118.342481279373</v>
      </c>
      <c r="I198" s="1">
        <v>49.260649513453203</v>
      </c>
      <c r="J198" s="1">
        <v>8.1658680038526599E-5</v>
      </c>
      <c r="K198" s="2">
        <v>0.10440000000000001</v>
      </c>
      <c r="L198" s="1">
        <v>0.1867</v>
      </c>
      <c r="M198" s="1">
        <v>0.19420000000000001</v>
      </c>
    </row>
    <row r="199" spans="1:13" x14ac:dyDescent="0.2">
      <c r="A199" s="1" t="s">
        <v>152</v>
      </c>
      <c r="B199" s="1">
        <v>47</v>
      </c>
      <c r="C199" s="1" t="s">
        <v>13</v>
      </c>
      <c r="D199" s="1">
        <v>3</v>
      </c>
      <c r="E199" s="1">
        <v>26.319395032711299</v>
      </c>
      <c r="F199" s="1">
        <v>80.4390563527122</v>
      </c>
      <c r="G199" s="1">
        <v>4.2385416500829103E-2</v>
      </c>
      <c r="H199" s="1">
        <v>118.342481279373</v>
      </c>
      <c r="I199" s="1">
        <v>49.260649513453203</v>
      </c>
      <c r="J199" s="1">
        <v>8.1658680038526599E-5</v>
      </c>
      <c r="K199" s="2">
        <v>0.1028</v>
      </c>
      <c r="L199" s="1">
        <v>0.19800000000000001</v>
      </c>
      <c r="M199" s="1">
        <v>0.19289999999999999</v>
      </c>
    </row>
    <row r="200" spans="1:13" x14ac:dyDescent="0.2">
      <c r="A200" s="1" t="s">
        <v>152</v>
      </c>
      <c r="B200" s="1">
        <v>47</v>
      </c>
      <c r="C200" s="1" t="s">
        <v>14</v>
      </c>
      <c r="D200" s="1">
        <v>3</v>
      </c>
      <c r="E200" s="1">
        <v>26.319395032711299</v>
      </c>
      <c r="F200" s="1">
        <v>80.4390563527122</v>
      </c>
      <c r="G200" s="1">
        <v>4.2385416500829103E-2</v>
      </c>
      <c r="H200" s="1">
        <v>118.342481279373</v>
      </c>
      <c r="I200" s="1">
        <v>49.260649513453203</v>
      </c>
      <c r="J200" s="1">
        <v>8.1658680038526599E-5</v>
      </c>
      <c r="K200" s="2">
        <v>0.1174</v>
      </c>
      <c r="L200" s="1">
        <v>0.17199999999999999</v>
      </c>
      <c r="M200" s="1">
        <v>0.1951</v>
      </c>
    </row>
    <row r="201" spans="1:13" x14ac:dyDescent="0.2">
      <c r="A201" s="1" t="s">
        <v>152</v>
      </c>
      <c r="B201" s="1">
        <v>47</v>
      </c>
      <c r="C201" s="1" t="s">
        <v>15</v>
      </c>
      <c r="D201" s="1">
        <v>3</v>
      </c>
      <c r="E201" s="1">
        <v>26.319395032711299</v>
      </c>
      <c r="F201" s="1">
        <v>80.4390563527122</v>
      </c>
      <c r="G201" s="1">
        <v>4.2385416500829103E-2</v>
      </c>
      <c r="H201" s="1">
        <v>118.342481279373</v>
      </c>
      <c r="I201" s="1">
        <v>49.260649513453203</v>
      </c>
      <c r="J201" s="1">
        <v>8.1658680038526599E-5</v>
      </c>
      <c r="K201" s="2">
        <v>0.1164</v>
      </c>
      <c r="L201" s="1">
        <v>0.23119999999999999</v>
      </c>
      <c r="M201" s="1">
        <v>0.1736</v>
      </c>
    </row>
    <row r="202" spans="1:13" x14ac:dyDescent="0.2">
      <c r="A202" s="1" t="s">
        <v>153</v>
      </c>
      <c r="B202" s="1">
        <v>48</v>
      </c>
      <c r="C202" s="1" t="s">
        <v>17</v>
      </c>
      <c r="D202" s="1">
        <v>3</v>
      </c>
      <c r="E202" s="1">
        <v>32.6943502286449</v>
      </c>
      <c r="F202" s="1">
        <v>67.778018349781604</v>
      </c>
      <c r="G202" s="1">
        <v>7.9156377855688301E-3</v>
      </c>
      <c r="H202" s="1">
        <v>14.234394285827801</v>
      </c>
      <c r="I202" s="1">
        <v>144.414979624561</v>
      </c>
      <c r="J202" s="1">
        <v>8.6626573321409498E-4</v>
      </c>
      <c r="K202" s="2">
        <v>0.11219999999999999</v>
      </c>
      <c r="L202" s="1">
        <v>0.24210000000000001</v>
      </c>
      <c r="M202" s="1">
        <v>0.16139999999999999</v>
      </c>
    </row>
    <row r="203" spans="1:13" x14ac:dyDescent="0.2">
      <c r="A203" s="1" t="s">
        <v>153</v>
      </c>
      <c r="B203" s="1">
        <v>48</v>
      </c>
      <c r="C203" s="1" t="s">
        <v>18</v>
      </c>
      <c r="D203" s="1">
        <v>3</v>
      </c>
      <c r="E203" s="1">
        <v>32.6943502286449</v>
      </c>
      <c r="F203" s="1">
        <v>67.778018349781604</v>
      </c>
      <c r="G203" s="1">
        <v>7.9156377855688301E-3</v>
      </c>
      <c r="H203" s="1">
        <v>14.234394285827801</v>
      </c>
      <c r="I203" s="1">
        <v>144.414979624561</v>
      </c>
      <c r="J203" s="1">
        <v>8.6626573321409498E-4</v>
      </c>
      <c r="K203" s="2">
        <v>0.2034</v>
      </c>
      <c r="L203" s="1">
        <v>0.2074</v>
      </c>
      <c r="M203" s="1">
        <v>0.13700000000000001</v>
      </c>
    </row>
    <row r="204" spans="1:13" x14ac:dyDescent="0.2">
      <c r="A204" s="1" t="s">
        <v>153</v>
      </c>
      <c r="B204" s="1">
        <v>48</v>
      </c>
      <c r="C204" s="1" t="s">
        <v>19</v>
      </c>
      <c r="D204" s="1">
        <v>3</v>
      </c>
      <c r="E204" s="1">
        <v>32.6943502286449</v>
      </c>
      <c r="F204" s="1">
        <v>67.778018349781604</v>
      </c>
      <c r="G204" s="1">
        <v>7.9156377855688301E-3</v>
      </c>
      <c r="H204" s="1">
        <v>14.234394285827801</v>
      </c>
      <c r="I204" s="1">
        <v>144.414979624561</v>
      </c>
      <c r="J204" s="1">
        <v>8.6626573321409498E-4</v>
      </c>
      <c r="K204" s="2">
        <v>0.12520000000000001</v>
      </c>
      <c r="L204" s="1">
        <v>0.84079999999999999</v>
      </c>
      <c r="M204" s="1">
        <v>0.16</v>
      </c>
    </row>
    <row r="205" spans="1:13" x14ac:dyDescent="0.2">
      <c r="A205" s="1" t="s">
        <v>153</v>
      </c>
      <c r="B205" s="1">
        <v>48</v>
      </c>
      <c r="C205" s="1" t="s">
        <v>20</v>
      </c>
      <c r="D205" s="1">
        <v>3</v>
      </c>
      <c r="E205" s="1">
        <v>32.6943502286449</v>
      </c>
      <c r="F205" s="1">
        <v>67.778018349781604</v>
      </c>
      <c r="G205" s="1">
        <v>7.9156377855688301E-3</v>
      </c>
      <c r="H205" s="1">
        <v>14.234394285827801</v>
      </c>
      <c r="I205" s="1">
        <v>144.414979624561</v>
      </c>
      <c r="J205" s="1">
        <v>8.6626573321409498E-4</v>
      </c>
      <c r="K205" s="2">
        <v>0.14910000000000001</v>
      </c>
      <c r="L205" s="1">
        <v>0.20100000000000001</v>
      </c>
      <c r="M205" s="1">
        <v>0.187</v>
      </c>
    </row>
    <row r="206" spans="1:13" x14ac:dyDescent="0.2">
      <c r="A206" s="1" t="s">
        <v>154</v>
      </c>
      <c r="B206" s="1">
        <v>49</v>
      </c>
      <c r="C206" s="1" t="s">
        <v>22</v>
      </c>
      <c r="D206" s="1">
        <v>3</v>
      </c>
      <c r="E206" s="1">
        <v>12.4443843849003</v>
      </c>
      <c r="F206" s="1">
        <v>99.991806195117505</v>
      </c>
      <c r="G206" s="1">
        <v>2.4189081848598998E-2</v>
      </c>
      <c r="H206" s="1">
        <v>111.62518170103399</v>
      </c>
      <c r="I206" s="1">
        <v>100.826920811086</v>
      </c>
      <c r="J206" s="1">
        <v>4.9949278191197596E-3</v>
      </c>
      <c r="K206" s="2">
        <v>0.12740000000000001</v>
      </c>
      <c r="L206" s="1">
        <v>0.1734</v>
      </c>
      <c r="M206" s="1">
        <v>0.29759999999999998</v>
      </c>
    </row>
    <row r="207" spans="1:13" x14ac:dyDescent="0.2">
      <c r="A207" s="1" t="s">
        <v>154</v>
      </c>
      <c r="B207" s="1">
        <v>49</v>
      </c>
      <c r="C207" s="1" t="s">
        <v>23</v>
      </c>
      <c r="D207" s="1">
        <v>3</v>
      </c>
      <c r="E207" s="1">
        <v>12.4443843849003</v>
      </c>
      <c r="F207" s="1">
        <v>99.991806195117505</v>
      </c>
      <c r="G207" s="1">
        <v>2.4189081848598998E-2</v>
      </c>
      <c r="H207" s="1">
        <v>111.62518170103399</v>
      </c>
      <c r="I207" s="1">
        <v>100.826920811086</v>
      </c>
      <c r="J207" s="1">
        <v>4.9949278191197596E-3</v>
      </c>
      <c r="K207" s="2">
        <v>0.1208</v>
      </c>
      <c r="L207" s="1">
        <v>0.19850000000000001</v>
      </c>
      <c r="M207" s="1">
        <v>0.3039</v>
      </c>
    </row>
    <row r="208" spans="1:13" x14ac:dyDescent="0.2">
      <c r="A208" s="1" t="s">
        <v>154</v>
      </c>
      <c r="B208" s="1">
        <v>49</v>
      </c>
      <c r="C208" s="1" t="s">
        <v>24</v>
      </c>
      <c r="D208" s="1">
        <v>3</v>
      </c>
      <c r="E208" s="1">
        <v>12.4443843849003</v>
      </c>
      <c r="F208" s="1">
        <v>99.991806195117505</v>
      </c>
      <c r="G208" s="1">
        <v>2.4189081848598998E-2</v>
      </c>
      <c r="H208" s="1">
        <v>111.62518170103399</v>
      </c>
      <c r="I208" s="1">
        <v>100.826920811086</v>
      </c>
      <c r="J208" s="1">
        <v>4.9949278191197596E-3</v>
      </c>
      <c r="K208" s="2">
        <v>0.45119999999999999</v>
      </c>
      <c r="L208" s="1">
        <v>0.2802</v>
      </c>
      <c r="M208" s="1">
        <v>0.28070000000000001</v>
      </c>
    </row>
    <row r="209" spans="1:13" x14ac:dyDescent="0.2">
      <c r="A209" s="1" t="s">
        <v>154</v>
      </c>
      <c r="B209" s="1">
        <v>49</v>
      </c>
      <c r="C209" s="1" t="s">
        <v>25</v>
      </c>
      <c r="D209" s="1">
        <v>3</v>
      </c>
      <c r="E209" s="1">
        <v>12.4443843849003</v>
      </c>
      <c r="F209" s="1">
        <v>99.991806195117505</v>
      </c>
      <c r="G209" s="1">
        <v>2.4189081848598998E-2</v>
      </c>
      <c r="H209" s="1">
        <v>111.62518170103399</v>
      </c>
      <c r="I209" s="1">
        <v>100.826920811086</v>
      </c>
      <c r="J209" s="1">
        <v>4.9949278191197596E-3</v>
      </c>
      <c r="K209" s="2">
        <v>0.12659999999999999</v>
      </c>
      <c r="L209" s="1">
        <v>0.2276</v>
      </c>
      <c r="M209" s="1">
        <v>0.28749999999999998</v>
      </c>
    </row>
    <row r="210" spans="1:13" x14ac:dyDescent="0.2">
      <c r="A210" s="1" t="s">
        <v>155</v>
      </c>
      <c r="B210" s="1">
        <v>50</v>
      </c>
      <c r="C210" s="1" t="s">
        <v>27</v>
      </c>
      <c r="D210" s="1">
        <v>3</v>
      </c>
      <c r="E210" s="1">
        <v>3.5007287533953702</v>
      </c>
      <c r="F210" s="1">
        <v>66.715569182299006</v>
      </c>
      <c r="G210" s="1">
        <v>1.9809857127070403E-2</v>
      </c>
      <c r="H210" s="1">
        <v>60.631904464960002</v>
      </c>
      <c r="I210" s="1">
        <v>149.25635461695401</v>
      </c>
      <c r="J210" s="1">
        <v>4.4703036744147499E-3</v>
      </c>
      <c r="K210" s="2">
        <v>0.13270000000000001</v>
      </c>
      <c r="L210" s="1">
        <v>0.25190000000000001</v>
      </c>
      <c r="M210" s="1">
        <v>0.25679999999999997</v>
      </c>
    </row>
    <row r="211" spans="1:13" x14ac:dyDescent="0.2">
      <c r="A211" s="1" t="s">
        <v>155</v>
      </c>
      <c r="B211" s="1">
        <v>50</v>
      </c>
      <c r="C211" s="1" t="s">
        <v>28</v>
      </c>
      <c r="D211" s="1">
        <v>3</v>
      </c>
      <c r="E211" s="1">
        <v>3.5007287533953702</v>
      </c>
      <c r="F211" s="1">
        <v>66.715569182299006</v>
      </c>
      <c r="G211" s="1">
        <v>1.9809857127070403E-2</v>
      </c>
      <c r="H211" s="1">
        <v>60.631904464960002</v>
      </c>
      <c r="I211" s="1">
        <v>149.25635461695401</v>
      </c>
      <c r="J211" s="1">
        <v>4.4703036744147499E-3</v>
      </c>
      <c r="K211" s="2">
        <v>0.13350000000000001</v>
      </c>
      <c r="L211" s="1">
        <v>0.27089999999999997</v>
      </c>
      <c r="M211" s="1">
        <v>0.21029999999999999</v>
      </c>
    </row>
    <row r="212" spans="1:13" x14ac:dyDescent="0.2">
      <c r="A212" s="1" t="s">
        <v>155</v>
      </c>
      <c r="B212" s="1">
        <v>50</v>
      </c>
      <c r="C212" s="1" t="s">
        <v>29</v>
      </c>
      <c r="D212" s="1">
        <v>3</v>
      </c>
      <c r="E212" s="1">
        <v>3.5007287533953702</v>
      </c>
      <c r="F212" s="1">
        <v>66.715569182299006</v>
      </c>
      <c r="G212" s="1">
        <v>1.9809857127070403E-2</v>
      </c>
      <c r="H212" s="1">
        <v>60.631904464960002</v>
      </c>
      <c r="I212" s="1">
        <v>149.25635461695401</v>
      </c>
      <c r="J212" s="1">
        <v>4.4703036744147499E-3</v>
      </c>
      <c r="K212" s="2">
        <v>0.11609999999999999</v>
      </c>
      <c r="L212" s="1">
        <v>0.31459999999999999</v>
      </c>
      <c r="M212" s="1">
        <v>0.20250000000000001</v>
      </c>
    </row>
    <row r="213" spans="1:13" x14ac:dyDescent="0.2">
      <c r="A213" s="1" t="s">
        <v>155</v>
      </c>
      <c r="B213" s="1">
        <v>50</v>
      </c>
      <c r="C213" s="1" t="s">
        <v>30</v>
      </c>
      <c r="D213" s="1">
        <v>3</v>
      </c>
      <c r="E213" s="1">
        <v>3.5007287533953702</v>
      </c>
      <c r="F213" s="1">
        <v>66.715569182299006</v>
      </c>
      <c r="G213" s="1">
        <v>1.9809857127070403E-2</v>
      </c>
      <c r="H213" s="1">
        <v>60.631904464960002</v>
      </c>
      <c r="I213" s="1">
        <v>149.25635461695401</v>
      </c>
      <c r="J213" s="1">
        <v>4.4703036744147499E-3</v>
      </c>
      <c r="K213" s="2">
        <v>0.12970000000000001</v>
      </c>
      <c r="L213" s="1">
        <v>0.27489999999999998</v>
      </c>
      <c r="M213" s="1">
        <v>0.2823</v>
      </c>
    </row>
    <row r="214" spans="1:13" x14ac:dyDescent="0.2">
      <c r="A214" s="1" t="s">
        <v>156</v>
      </c>
      <c r="B214" s="1">
        <v>51</v>
      </c>
      <c r="C214" s="1" t="s">
        <v>32</v>
      </c>
      <c r="D214" s="1">
        <v>3</v>
      </c>
      <c r="E214" s="1">
        <v>20.656851889099901</v>
      </c>
      <c r="F214" s="1">
        <v>80.290626677684401</v>
      </c>
      <c r="G214" s="1">
        <v>8.2502575808949694E-2</v>
      </c>
      <c r="H214" s="1">
        <v>54.932254183292301</v>
      </c>
      <c r="I214" s="1">
        <v>117.516608624719</v>
      </c>
      <c r="J214" s="1">
        <v>1.28877629605121E-3</v>
      </c>
      <c r="K214" s="2">
        <v>0.12</v>
      </c>
      <c r="L214" s="1">
        <v>0.25519999999999998</v>
      </c>
      <c r="M214" s="1">
        <v>0.1706</v>
      </c>
    </row>
    <row r="215" spans="1:13" x14ac:dyDescent="0.2">
      <c r="A215" s="1" t="s">
        <v>156</v>
      </c>
      <c r="B215" s="1">
        <v>51</v>
      </c>
      <c r="C215" s="1" t="s">
        <v>33</v>
      </c>
      <c r="D215" s="1">
        <v>3</v>
      </c>
      <c r="E215" s="1">
        <v>20.656851889099901</v>
      </c>
      <c r="F215" s="1">
        <v>80.290626677684401</v>
      </c>
      <c r="G215" s="1">
        <v>8.2502575808949694E-2</v>
      </c>
      <c r="H215" s="1">
        <v>54.932254183292301</v>
      </c>
      <c r="I215" s="1">
        <v>117.516608624719</v>
      </c>
      <c r="J215" s="1">
        <v>1.28877629605121E-3</v>
      </c>
      <c r="K215" s="2">
        <v>0.12239999999999999</v>
      </c>
      <c r="L215" s="1">
        <v>0.25290000000000001</v>
      </c>
      <c r="M215" s="1">
        <v>0.1767</v>
      </c>
    </row>
    <row r="216" spans="1:13" x14ac:dyDescent="0.2">
      <c r="A216" s="1" t="s">
        <v>156</v>
      </c>
      <c r="B216" s="1">
        <v>51</v>
      </c>
      <c r="C216" s="1" t="s">
        <v>34</v>
      </c>
      <c r="D216" s="1">
        <v>3</v>
      </c>
      <c r="E216" s="1">
        <v>20.656851889099901</v>
      </c>
      <c r="F216" s="1">
        <v>80.290626677684401</v>
      </c>
      <c r="G216" s="1">
        <v>8.2502575808949694E-2</v>
      </c>
      <c r="H216" s="1">
        <v>54.932254183292301</v>
      </c>
      <c r="I216" s="1">
        <v>117.516608624719</v>
      </c>
      <c r="J216" s="1">
        <v>1.28877629605121E-3</v>
      </c>
      <c r="K216" s="2">
        <v>0.13489999999999999</v>
      </c>
      <c r="L216" s="1">
        <v>0.21659999999999999</v>
      </c>
      <c r="M216" s="1">
        <v>0.1394</v>
      </c>
    </row>
    <row r="217" spans="1:13" x14ac:dyDescent="0.2">
      <c r="A217" s="1" t="s">
        <v>156</v>
      </c>
      <c r="B217" s="1">
        <v>51</v>
      </c>
      <c r="C217" s="1" t="s">
        <v>35</v>
      </c>
      <c r="D217" s="1">
        <v>3</v>
      </c>
      <c r="E217" s="1">
        <v>20.656851889099901</v>
      </c>
      <c r="F217" s="1">
        <v>80.290626677684401</v>
      </c>
      <c r="G217" s="1">
        <v>8.2502575808949694E-2</v>
      </c>
      <c r="H217" s="1">
        <v>54.932254183292301</v>
      </c>
      <c r="I217" s="1">
        <v>117.516608624719</v>
      </c>
      <c r="J217" s="1">
        <v>1.28877629605121E-3</v>
      </c>
      <c r="K217" s="2">
        <v>0.123</v>
      </c>
      <c r="L217" s="1">
        <v>0.23350000000000001</v>
      </c>
      <c r="M217" s="1">
        <v>0.1401</v>
      </c>
    </row>
    <row r="218" spans="1:13" x14ac:dyDescent="0.2">
      <c r="A218" s="1" t="s">
        <v>157</v>
      </c>
      <c r="B218" s="1">
        <v>52</v>
      </c>
      <c r="C218" s="1" t="s">
        <v>37</v>
      </c>
      <c r="D218" s="1">
        <v>3</v>
      </c>
      <c r="E218" s="1">
        <v>9.6861096532083995</v>
      </c>
      <c r="F218" s="1">
        <v>18.871821598149801</v>
      </c>
      <c r="G218" s="1">
        <v>6.6273790064826602E-2</v>
      </c>
      <c r="H218" s="1">
        <v>97.550179740786504</v>
      </c>
      <c r="I218" s="1">
        <v>102.941818814724</v>
      </c>
      <c r="J218" s="1">
        <v>3.26651053410023E-4</v>
      </c>
      <c r="K218" s="2">
        <v>0.11749999999999999</v>
      </c>
      <c r="L218" s="1">
        <v>0.26469999999999999</v>
      </c>
      <c r="M218" s="1">
        <v>0.13919999999999999</v>
      </c>
    </row>
    <row r="219" spans="1:13" x14ac:dyDescent="0.2">
      <c r="A219" s="1" t="s">
        <v>157</v>
      </c>
      <c r="B219" s="1">
        <v>52</v>
      </c>
      <c r="C219" s="1" t="s">
        <v>38</v>
      </c>
      <c r="D219" s="1">
        <v>3</v>
      </c>
      <c r="E219" s="1">
        <v>9.6861096532083995</v>
      </c>
      <c r="F219" s="1">
        <v>18.871821598149801</v>
      </c>
      <c r="G219" s="1">
        <v>6.6273790064826602E-2</v>
      </c>
      <c r="H219" s="1">
        <v>97.550179740786504</v>
      </c>
      <c r="I219" s="1">
        <v>102.941818814724</v>
      </c>
      <c r="J219" s="1">
        <v>3.26651053410023E-4</v>
      </c>
      <c r="K219" s="2">
        <v>0.1565</v>
      </c>
      <c r="L219" s="1">
        <v>0.31040000000000001</v>
      </c>
      <c r="M219" s="1">
        <v>0.255</v>
      </c>
    </row>
    <row r="220" spans="1:13" x14ac:dyDescent="0.2">
      <c r="A220" s="1" t="s">
        <v>157</v>
      </c>
      <c r="B220" s="1">
        <v>52</v>
      </c>
      <c r="C220" s="1" t="s">
        <v>39</v>
      </c>
      <c r="D220" s="1">
        <v>3</v>
      </c>
      <c r="E220" s="1">
        <v>9.6861096532083995</v>
      </c>
      <c r="F220" s="1">
        <v>18.871821598149801</v>
      </c>
      <c r="G220" s="1">
        <v>6.6273790064826602E-2</v>
      </c>
      <c r="H220" s="1">
        <v>97.550179740786504</v>
      </c>
      <c r="I220" s="1">
        <v>102.941818814724</v>
      </c>
      <c r="J220" s="1">
        <v>3.26651053410023E-4</v>
      </c>
      <c r="K220" s="2">
        <v>0.34210000000000002</v>
      </c>
      <c r="L220" s="1">
        <v>0.29020000000000001</v>
      </c>
      <c r="M220" s="1">
        <v>0.19550000000000001</v>
      </c>
    </row>
    <row r="221" spans="1:13" x14ac:dyDescent="0.2">
      <c r="A221" s="1" t="s">
        <v>157</v>
      </c>
      <c r="B221" s="1">
        <v>52</v>
      </c>
      <c r="C221" s="1" t="s">
        <v>40</v>
      </c>
      <c r="D221" s="1">
        <v>3</v>
      </c>
      <c r="E221" s="1">
        <v>9.6861096532083995</v>
      </c>
      <c r="F221" s="1">
        <v>18.871821598149801</v>
      </c>
      <c r="G221" s="1">
        <v>6.6273790064826602E-2</v>
      </c>
      <c r="H221" s="1">
        <v>97.550179740786504</v>
      </c>
      <c r="I221" s="1">
        <v>102.941818814724</v>
      </c>
      <c r="J221" s="1">
        <v>3.26651053410023E-4</v>
      </c>
      <c r="K221" s="2">
        <v>0.156</v>
      </c>
      <c r="L221" s="1">
        <v>0.31919999999999998</v>
      </c>
      <c r="M221" s="1">
        <v>0.1706</v>
      </c>
    </row>
    <row r="222" spans="1:13" x14ac:dyDescent="0.2">
      <c r="A222" s="1" t="s">
        <v>158</v>
      </c>
      <c r="B222" s="1">
        <v>53</v>
      </c>
      <c r="C222" s="1" t="s">
        <v>42</v>
      </c>
      <c r="D222" s="1">
        <v>3</v>
      </c>
      <c r="E222" s="1">
        <v>27.319767477456399</v>
      </c>
      <c r="F222" s="1">
        <v>14.003427004441599</v>
      </c>
      <c r="G222" s="1">
        <v>6.7563311245664906E-2</v>
      </c>
      <c r="H222" s="1">
        <v>58.655616641789599</v>
      </c>
      <c r="I222" s="1">
        <v>19.879306163638802</v>
      </c>
      <c r="J222" s="1">
        <v>1.4948295361828E-3</v>
      </c>
      <c r="K222" s="2">
        <v>0.2394</v>
      </c>
      <c r="L222" s="1">
        <v>0.81420000000000003</v>
      </c>
      <c r="M222" s="1">
        <v>0.7288</v>
      </c>
    </row>
    <row r="223" spans="1:13" x14ac:dyDescent="0.2">
      <c r="A223" s="1" t="s">
        <v>158</v>
      </c>
      <c r="B223" s="1">
        <v>53</v>
      </c>
      <c r="C223" s="1" t="s">
        <v>43</v>
      </c>
      <c r="D223" s="1">
        <v>3</v>
      </c>
      <c r="E223" s="1">
        <v>27.319767477456399</v>
      </c>
      <c r="F223" s="1">
        <v>14.003427004441599</v>
      </c>
      <c r="G223" s="1">
        <v>6.7563311245664906E-2</v>
      </c>
      <c r="H223" s="1">
        <v>58.655616641789599</v>
      </c>
      <c r="I223" s="1">
        <v>19.879306163638802</v>
      </c>
      <c r="J223" s="1">
        <v>1.4948295361828E-3</v>
      </c>
      <c r="K223" s="2">
        <v>0.2019</v>
      </c>
      <c r="L223" s="1">
        <v>0.50839999999999996</v>
      </c>
      <c r="M223" s="1">
        <v>1.1004</v>
      </c>
    </row>
    <row r="224" spans="1:13" x14ac:dyDescent="0.2">
      <c r="A224" s="1" t="s">
        <v>158</v>
      </c>
      <c r="B224" s="1">
        <v>53</v>
      </c>
      <c r="C224" s="1" t="s">
        <v>44</v>
      </c>
      <c r="D224" s="1">
        <v>3</v>
      </c>
      <c r="E224" s="1">
        <v>27.319767477456399</v>
      </c>
      <c r="F224" s="1">
        <v>14.003427004441599</v>
      </c>
      <c r="G224" s="1">
        <v>6.7563311245664906E-2</v>
      </c>
      <c r="H224" s="1">
        <v>58.655616641789599</v>
      </c>
      <c r="I224" s="1">
        <v>19.879306163638802</v>
      </c>
      <c r="J224" s="1">
        <v>1.4948295361828E-3</v>
      </c>
      <c r="K224" s="2">
        <v>0.19969999999999999</v>
      </c>
      <c r="L224" s="1">
        <v>0.32129999999999997</v>
      </c>
      <c r="M224" s="1">
        <v>0.85619999999999996</v>
      </c>
    </row>
    <row r="225" spans="1:13" x14ac:dyDescent="0.2">
      <c r="A225" s="1" t="s">
        <v>158</v>
      </c>
      <c r="B225" s="1">
        <v>53</v>
      </c>
      <c r="C225" s="1" t="s">
        <v>45</v>
      </c>
      <c r="D225" s="1">
        <v>3</v>
      </c>
      <c r="E225" s="1">
        <v>27.319767477456399</v>
      </c>
      <c r="F225" s="1">
        <v>14.003427004441599</v>
      </c>
      <c r="G225" s="1">
        <v>6.7563311245664906E-2</v>
      </c>
      <c r="H225" s="1">
        <v>58.655616641789599</v>
      </c>
      <c r="I225" s="1">
        <v>19.879306163638802</v>
      </c>
      <c r="J225" s="1">
        <v>1.4948295361828E-3</v>
      </c>
      <c r="K225" s="2">
        <v>0.18310000000000001</v>
      </c>
      <c r="L225" s="1">
        <v>0.24879999999999999</v>
      </c>
      <c r="M225" s="1">
        <v>1.2805</v>
      </c>
    </row>
    <row r="226" spans="1:13" x14ac:dyDescent="0.2">
      <c r="A226" s="1" t="s">
        <v>159</v>
      </c>
      <c r="B226" s="1">
        <v>54</v>
      </c>
      <c r="C226" s="1" t="s">
        <v>47</v>
      </c>
      <c r="D226" s="1">
        <v>3</v>
      </c>
      <c r="E226" s="1">
        <v>29.152492252178401</v>
      </c>
      <c r="F226" s="1">
        <v>3.3880230225622601</v>
      </c>
      <c r="G226" s="1">
        <v>3.1307203863747399E-2</v>
      </c>
      <c r="H226" s="1">
        <v>5.9805233299732201</v>
      </c>
      <c r="I226" s="1">
        <v>148.71364482678399</v>
      </c>
      <c r="J226" s="1">
        <v>3.78460090062581E-3</v>
      </c>
      <c r="K226" s="2">
        <v>0.20669999999999999</v>
      </c>
      <c r="L226" s="1">
        <v>0.4047</v>
      </c>
      <c r="M226" s="1">
        <v>0.1489</v>
      </c>
    </row>
    <row r="227" spans="1:13" x14ac:dyDescent="0.2">
      <c r="A227" s="1" t="s">
        <v>159</v>
      </c>
      <c r="B227" s="1">
        <v>54</v>
      </c>
      <c r="C227" s="1" t="s">
        <v>48</v>
      </c>
      <c r="D227" s="1">
        <v>3</v>
      </c>
      <c r="E227" s="1">
        <v>29.152492252178401</v>
      </c>
      <c r="F227" s="1">
        <v>3.3880230225622601</v>
      </c>
      <c r="G227" s="1">
        <v>3.1307203863747399E-2</v>
      </c>
      <c r="H227" s="1">
        <v>5.9805233299732201</v>
      </c>
      <c r="I227" s="1">
        <v>148.71364482678399</v>
      </c>
      <c r="J227" s="1">
        <v>3.78460090062581E-3</v>
      </c>
      <c r="K227" s="2">
        <v>0.2384</v>
      </c>
      <c r="L227" s="1">
        <v>0.16689999999999999</v>
      </c>
      <c r="M227" s="1">
        <v>0.15529999999999999</v>
      </c>
    </row>
    <row r="228" spans="1:13" x14ac:dyDescent="0.2">
      <c r="A228" s="1" t="s">
        <v>159</v>
      </c>
      <c r="B228" s="1">
        <v>54</v>
      </c>
      <c r="C228" s="1" t="s">
        <v>49</v>
      </c>
      <c r="D228" s="1">
        <v>3</v>
      </c>
      <c r="E228" s="1">
        <v>29.152492252178401</v>
      </c>
      <c r="F228" s="1">
        <v>3.3880230225622601</v>
      </c>
      <c r="G228" s="1">
        <v>3.1307203863747399E-2</v>
      </c>
      <c r="H228" s="1">
        <v>5.9805233299732201</v>
      </c>
      <c r="I228" s="1">
        <v>148.71364482678399</v>
      </c>
      <c r="J228" s="1">
        <v>3.78460090062581E-3</v>
      </c>
      <c r="K228" s="2">
        <v>0.28120000000000001</v>
      </c>
      <c r="L228" s="1">
        <v>0.28349999999999997</v>
      </c>
      <c r="M228" s="1">
        <v>0.16830000000000001</v>
      </c>
    </row>
    <row r="229" spans="1:13" x14ac:dyDescent="0.2">
      <c r="A229" s="1" t="s">
        <v>159</v>
      </c>
      <c r="B229" s="1">
        <v>54</v>
      </c>
      <c r="C229" s="1" t="s">
        <v>50</v>
      </c>
      <c r="D229" s="1">
        <v>3</v>
      </c>
      <c r="E229" s="1">
        <v>29.152492252178401</v>
      </c>
      <c r="F229" s="1">
        <v>3.3880230225622601</v>
      </c>
      <c r="G229" s="1">
        <v>3.1307203863747399E-2</v>
      </c>
      <c r="H229" s="1">
        <v>5.9805233299732201</v>
      </c>
      <c r="I229" s="1">
        <v>148.71364482678399</v>
      </c>
      <c r="J229" s="1">
        <v>3.78460090062581E-3</v>
      </c>
      <c r="K229" s="2">
        <v>0.2999</v>
      </c>
      <c r="L229" s="1">
        <v>0.46889999999999998</v>
      </c>
      <c r="M229" s="1">
        <v>0.16589999999999999</v>
      </c>
    </row>
    <row r="230" spans="1:13" x14ac:dyDescent="0.2">
      <c r="A230" s="1" t="s">
        <v>160</v>
      </c>
      <c r="B230" s="1">
        <v>55</v>
      </c>
      <c r="C230" s="1" t="s">
        <v>52</v>
      </c>
      <c r="D230" s="1">
        <v>3</v>
      </c>
      <c r="E230" s="1">
        <v>0.674943805672228</v>
      </c>
      <c r="F230" s="1">
        <v>25.320557365193899</v>
      </c>
      <c r="G230" s="1">
        <v>7.3097510945238101E-2</v>
      </c>
      <c r="H230" s="1">
        <v>82.335468026250595</v>
      </c>
      <c r="I230" s="1">
        <v>26.517260377295301</v>
      </c>
      <c r="J230" s="1">
        <v>2.0832908560056199E-3</v>
      </c>
      <c r="K230" s="2">
        <v>0.2099</v>
      </c>
      <c r="L230" s="1">
        <v>0.42230000000000001</v>
      </c>
      <c r="M230" s="1">
        <v>0.20430000000000001</v>
      </c>
    </row>
    <row r="231" spans="1:13" x14ac:dyDescent="0.2">
      <c r="A231" s="1" t="s">
        <v>160</v>
      </c>
      <c r="B231" s="1">
        <v>55</v>
      </c>
      <c r="C231" s="1" t="s">
        <v>53</v>
      </c>
      <c r="D231" s="1">
        <v>3</v>
      </c>
      <c r="E231" s="1">
        <v>0.674943805672228</v>
      </c>
      <c r="F231" s="1">
        <v>25.320557365193899</v>
      </c>
      <c r="G231" s="1">
        <v>7.3097510945238101E-2</v>
      </c>
      <c r="H231" s="1">
        <v>82.335468026250595</v>
      </c>
      <c r="I231" s="1">
        <v>26.517260377295301</v>
      </c>
      <c r="J231" s="1">
        <v>2.0832908560056199E-3</v>
      </c>
      <c r="K231" s="2">
        <v>0.16439999999999999</v>
      </c>
      <c r="L231" s="1">
        <v>0.50719999999999998</v>
      </c>
      <c r="M231" s="1">
        <v>0.19950000000000001</v>
      </c>
    </row>
    <row r="232" spans="1:13" x14ac:dyDescent="0.2">
      <c r="A232" s="1" t="s">
        <v>160</v>
      </c>
      <c r="B232" s="1">
        <v>55</v>
      </c>
      <c r="C232" s="1" t="s">
        <v>54</v>
      </c>
      <c r="D232" s="1">
        <v>3</v>
      </c>
      <c r="E232" s="1">
        <v>0.674943805672228</v>
      </c>
      <c r="F232" s="1">
        <v>25.320557365193899</v>
      </c>
      <c r="G232" s="1">
        <v>7.3097510945238101E-2</v>
      </c>
      <c r="H232" s="1">
        <v>82.335468026250595</v>
      </c>
      <c r="I232" s="1">
        <v>26.517260377295301</v>
      </c>
      <c r="J232" s="1">
        <v>2.0832908560056199E-3</v>
      </c>
      <c r="K232" s="2">
        <v>0.15659999999999999</v>
      </c>
      <c r="L232" s="1">
        <v>0.61199999999999999</v>
      </c>
      <c r="M232" s="1">
        <v>0.17829999999999999</v>
      </c>
    </row>
    <row r="233" spans="1:13" x14ac:dyDescent="0.2">
      <c r="A233" s="1" t="s">
        <v>160</v>
      </c>
      <c r="B233" s="1">
        <v>55</v>
      </c>
      <c r="C233" s="1" t="s">
        <v>55</v>
      </c>
      <c r="D233" s="1">
        <v>3</v>
      </c>
      <c r="E233" s="1">
        <v>0.674943805672228</v>
      </c>
      <c r="F233" s="1">
        <v>25.320557365193899</v>
      </c>
      <c r="G233" s="1">
        <v>7.3097510945238101E-2</v>
      </c>
      <c r="H233" s="1">
        <v>82.335468026250595</v>
      </c>
      <c r="I233" s="1">
        <v>26.517260377295301</v>
      </c>
      <c r="J233" s="1">
        <v>2.0832908560056199E-3</v>
      </c>
      <c r="K233" s="2">
        <v>0.13389999999999999</v>
      </c>
      <c r="L233" s="1">
        <v>0.27050000000000002</v>
      </c>
      <c r="M233" s="1">
        <v>0.17829999999999999</v>
      </c>
    </row>
    <row r="234" spans="1:13" x14ac:dyDescent="0.2">
      <c r="A234" s="1" t="s">
        <v>161</v>
      </c>
      <c r="B234" s="1">
        <v>56</v>
      </c>
      <c r="C234" s="1" t="s">
        <v>57</v>
      </c>
      <c r="D234" s="1">
        <v>3</v>
      </c>
      <c r="E234" s="1">
        <v>46.205198624171302</v>
      </c>
      <c r="F234" s="1">
        <v>32.1004416411742</v>
      </c>
      <c r="G234" s="1">
        <v>6.3637265067920099E-2</v>
      </c>
      <c r="H234" s="1">
        <v>71.078175482153895</v>
      </c>
      <c r="I234" s="1">
        <v>77.624688483774605</v>
      </c>
      <c r="J234" s="1">
        <v>1.2576162939891202E-3</v>
      </c>
      <c r="K234" s="2">
        <v>0.13980000000000001</v>
      </c>
      <c r="L234" s="1">
        <v>0.25409999999999999</v>
      </c>
      <c r="M234" s="1">
        <v>0.84819999999999995</v>
      </c>
    </row>
    <row r="235" spans="1:13" x14ac:dyDescent="0.2">
      <c r="A235" s="1" t="s">
        <v>161</v>
      </c>
      <c r="B235" s="1">
        <v>56</v>
      </c>
      <c r="C235" s="1" t="s">
        <v>58</v>
      </c>
      <c r="D235" s="1">
        <v>3</v>
      </c>
      <c r="E235" s="1">
        <v>46.205198624171302</v>
      </c>
      <c r="F235" s="1">
        <v>32.1004416411742</v>
      </c>
      <c r="G235" s="1">
        <v>6.3637265067920099E-2</v>
      </c>
      <c r="H235" s="1">
        <v>71.078175482153895</v>
      </c>
      <c r="I235" s="1">
        <v>77.624688483774605</v>
      </c>
      <c r="J235" s="1">
        <v>1.2576162939891202E-3</v>
      </c>
      <c r="K235" s="2">
        <v>0.16220000000000001</v>
      </c>
      <c r="L235" s="1">
        <v>0.35549999999999998</v>
      </c>
      <c r="M235" s="1">
        <v>0.67500000000000004</v>
      </c>
    </row>
    <row r="236" spans="1:13" x14ac:dyDescent="0.2">
      <c r="A236" s="1" t="s">
        <v>161</v>
      </c>
      <c r="B236" s="1">
        <v>56</v>
      </c>
      <c r="C236" s="1" t="s">
        <v>59</v>
      </c>
      <c r="D236" s="1">
        <v>3</v>
      </c>
      <c r="E236" s="1">
        <v>46.205198624171302</v>
      </c>
      <c r="F236" s="1">
        <v>32.1004416411742</v>
      </c>
      <c r="G236" s="1">
        <v>6.3637265067920099E-2</v>
      </c>
      <c r="H236" s="1">
        <v>71.078175482153895</v>
      </c>
      <c r="I236" s="1">
        <v>77.624688483774605</v>
      </c>
      <c r="J236" s="1">
        <v>1.2576162939891202E-3</v>
      </c>
      <c r="K236" s="2">
        <v>0.16120000000000001</v>
      </c>
      <c r="L236" s="1">
        <v>0.28699999999999998</v>
      </c>
      <c r="M236" s="1">
        <v>0.56930000000000003</v>
      </c>
    </row>
    <row r="237" spans="1:13" x14ac:dyDescent="0.2">
      <c r="A237" s="1" t="s">
        <v>161</v>
      </c>
      <c r="B237" s="1">
        <v>56</v>
      </c>
      <c r="C237" s="1" t="s">
        <v>60</v>
      </c>
      <c r="D237" s="1">
        <v>3</v>
      </c>
      <c r="E237" s="1">
        <v>46.205198624171302</v>
      </c>
      <c r="F237" s="1">
        <v>32.1004416411742</v>
      </c>
      <c r="G237" s="1">
        <v>6.3637265067920099E-2</v>
      </c>
      <c r="H237" s="1">
        <v>71.078175482153895</v>
      </c>
      <c r="I237" s="1">
        <v>77.624688483774605</v>
      </c>
      <c r="J237" s="1">
        <v>1.2576162939891202E-3</v>
      </c>
      <c r="K237" s="2">
        <v>0.15770000000000001</v>
      </c>
      <c r="L237" s="1">
        <v>0.22869999999999999</v>
      </c>
      <c r="M237" s="1">
        <v>1.3163</v>
      </c>
    </row>
    <row r="238" spans="1:13" x14ac:dyDescent="0.2">
      <c r="A238" s="1" t="s">
        <v>162</v>
      </c>
      <c r="B238" s="1">
        <v>57</v>
      </c>
      <c r="C238" s="1" t="s">
        <v>62</v>
      </c>
      <c r="D238" s="1">
        <v>3</v>
      </c>
      <c r="E238" s="1">
        <v>33.834016849286797</v>
      </c>
      <c r="F238" s="1">
        <v>24.337959186173901</v>
      </c>
      <c r="G238" s="1">
        <v>1.9350437910482198E-2</v>
      </c>
      <c r="H238" s="1">
        <v>68.337848901003596</v>
      </c>
      <c r="I238" s="1">
        <v>36.854258473031202</v>
      </c>
      <c r="J238" s="1">
        <v>8.7236292613670195E-5</v>
      </c>
      <c r="K238" s="2">
        <v>0.1699</v>
      </c>
      <c r="L238" s="1">
        <v>0.55420000000000003</v>
      </c>
      <c r="M238" s="1">
        <v>0.40810000000000002</v>
      </c>
    </row>
    <row r="239" spans="1:13" x14ac:dyDescent="0.2">
      <c r="A239" s="1" t="s">
        <v>162</v>
      </c>
      <c r="B239" s="1">
        <v>57</v>
      </c>
      <c r="C239" s="1" t="s">
        <v>63</v>
      </c>
      <c r="D239" s="1">
        <v>3</v>
      </c>
      <c r="E239" s="1">
        <v>33.834016849286797</v>
      </c>
      <c r="F239" s="1">
        <v>24.337959186173901</v>
      </c>
      <c r="G239" s="1">
        <v>1.9350437910482198E-2</v>
      </c>
      <c r="H239" s="1">
        <v>68.337848901003596</v>
      </c>
      <c r="I239" s="1">
        <v>36.854258473031202</v>
      </c>
      <c r="J239" s="1">
        <v>8.7236292613670195E-5</v>
      </c>
      <c r="K239" s="2">
        <v>0.2984</v>
      </c>
      <c r="L239" s="1">
        <v>0.29849999999999999</v>
      </c>
      <c r="M239" s="1">
        <v>1.0498000000000001</v>
      </c>
    </row>
    <row r="240" spans="1:13" x14ac:dyDescent="0.2">
      <c r="A240" s="1" t="s">
        <v>162</v>
      </c>
      <c r="B240" s="1">
        <v>57</v>
      </c>
      <c r="C240" s="1" t="s">
        <v>64</v>
      </c>
      <c r="D240" s="1">
        <v>3</v>
      </c>
      <c r="E240" s="1">
        <v>33.834016849286797</v>
      </c>
      <c r="F240" s="1">
        <v>24.337959186173901</v>
      </c>
      <c r="G240" s="1">
        <v>1.9350437910482198E-2</v>
      </c>
      <c r="H240" s="1">
        <v>68.337848901003596</v>
      </c>
      <c r="I240" s="1">
        <v>36.854258473031202</v>
      </c>
      <c r="J240" s="1">
        <v>8.7236292613670195E-5</v>
      </c>
      <c r="K240" s="2">
        <v>0.28360000000000002</v>
      </c>
      <c r="L240" s="1">
        <v>0.2437</v>
      </c>
      <c r="M240" s="1">
        <v>0.316</v>
      </c>
    </row>
    <row r="241" spans="1:13" x14ac:dyDescent="0.2">
      <c r="A241" s="1" t="s">
        <v>162</v>
      </c>
      <c r="B241" s="1">
        <v>57</v>
      </c>
      <c r="C241" s="1" t="s">
        <v>65</v>
      </c>
      <c r="D241" s="1">
        <v>3</v>
      </c>
      <c r="E241" s="1">
        <v>33.834016849286797</v>
      </c>
      <c r="F241" s="1">
        <v>24.337959186173901</v>
      </c>
      <c r="G241" s="1">
        <v>1.9350437910482198E-2</v>
      </c>
      <c r="H241" s="1">
        <v>68.337848901003596</v>
      </c>
      <c r="I241" s="1">
        <v>36.854258473031202</v>
      </c>
      <c r="J241" s="1">
        <v>8.7236292613670195E-5</v>
      </c>
      <c r="K241" s="2">
        <v>0.28560000000000002</v>
      </c>
      <c r="L241" s="1">
        <v>0.30409999999999998</v>
      </c>
      <c r="M241" s="1">
        <v>0.24199999999999999</v>
      </c>
    </row>
    <row r="242" spans="1:13" x14ac:dyDescent="0.2">
      <c r="A242" s="1" t="s">
        <v>163</v>
      </c>
      <c r="B242" s="1">
        <v>58</v>
      </c>
      <c r="C242" s="1" t="s">
        <v>67</v>
      </c>
      <c r="D242" s="1">
        <v>3</v>
      </c>
      <c r="E242" s="1">
        <v>16.085862843785399</v>
      </c>
      <c r="F242" s="1">
        <v>5.60556448809802</v>
      </c>
      <c r="G242" s="1">
        <v>9.9240697415172996E-2</v>
      </c>
      <c r="H242" s="1">
        <v>135.96252908185099</v>
      </c>
      <c r="I242" s="1">
        <v>49.889702503569403</v>
      </c>
      <c r="J242" s="1">
        <v>2.2335106813348798E-3</v>
      </c>
      <c r="K242" s="2">
        <v>0.15060000000000001</v>
      </c>
      <c r="L242" s="1">
        <v>0.3226</v>
      </c>
      <c r="M242" s="1">
        <v>0.25119999999999998</v>
      </c>
    </row>
    <row r="243" spans="1:13" x14ac:dyDescent="0.2">
      <c r="A243" s="1" t="s">
        <v>163</v>
      </c>
      <c r="B243" s="1">
        <v>58</v>
      </c>
      <c r="C243" s="1" t="s">
        <v>68</v>
      </c>
      <c r="D243" s="1">
        <v>3</v>
      </c>
      <c r="E243" s="1">
        <v>16.085862843785399</v>
      </c>
      <c r="F243" s="1">
        <v>5.60556448809802</v>
      </c>
      <c r="G243" s="1">
        <v>9.9240697415172996E-2</v>
      </c>
      <c r="H243" s="1">
        <v>135.96252908185099</v>
      </c>
      <c r="I243" s="1">
        <v>49.889702503569403</v>
      </c>
      <c r="J243" s="1">
        <v>2.2335106813348798E-3</v>
      </c>
      <c r="K243" s="2">
        <v>0.16350000000000001</v>
      </c>
      <c r="L243" s="1">
        <v>0.33579999999999999</v>
      </c>
      <c r="M243" s="1">
        <v>0.26769999999999999</v>
      </c>
    </row>
    <row r="244" spans="1:13" x14ac:dyDescent="0.2">
      <c r="A244" s="1" t="s">
        <v>163</v>
      </c>
      <c r="B244" s="1">
        <v>58</v>
      </c>
      <c r="C244" s="1" t="s">
        <v>69</v>
      </c>
      <c r="D244" s="1">
        <v>3</v>
      </c>
      <c r="E244" s="1">
        <v>16.085862843785399</v>
      </c>
      <c r="F244" s="1">
        <v>5.60556448809802</v>
      </c>
      <c r="G244" s="1">
        <v>9.9240697415172996E-2</v>
      </c>
      <c r="H244" s="1">
        <v>135.96252908185099</v>
      </c>
      <c r="I244" s="1">
        <v>49.889702503569403</v>
      </c>
      <c r="J244" s="1">
        <v>2.2335106813348798E-3</v>
      </c>
      <c r="K244" s="2">
        <v>0.1077</v>
      </c>
      <c r="L244" s="1">
        <v>0.2646</v>
      </c>
      <c r="M244" s="1">
        <v>0.27800000000000002</v>
      </c>
    </row>
    <row r="245" spans="1:13" x14ac:dyDescent="0.2">
      <c r="A245" s="1" t="s">
        <v>163</v>
      </c>
      <c r="B245" s="1">
        <v>58</v>
      </c>
      <c r="C245" s="1" t="s">
        <v>70</v>
      </c>
      <c r="D245" s="1">
        <v>3</v>
      </c>
      <c r="E245" s="1">
        <v>16.085862843785399</v>
      </c>
      <c r="F245" s="1">
        <v>5.60556448809802</v>
      </c>
      <c r="G245" s="1">
        <v>9.9240697415172996E-2</v>
      </c>
      <c r="H245" s="1">
        <v>135.96252908185099</v>
      </c>
      <c r="I245" s="1">
        <v>49.889702503569403</v>
      </c>
      <c r="J245" s="1">
        <v>2.2335106813348798E-3</v>
      </c>
      <c r="K245" s="2">
        <v>0.15820000000000001</v>
      </c>
      <c r="L245" s="1">
        <v>0.33139999999999997</v>
      </c>
      <c r="M245" s="1">
        <v>0.2702</v>
      </c>
    </row>
    <row r="246" spans="1:13" x14ac:dyDescent="0.2">
      <c r="A246" s="1" t="s">
        <v>164</v>
      </c>
      <c r="B246" s="1">
        <v>59</v>
      </c>
      <c r="C246" s="1" t="s">
        <v>72</v>
      </c>
      <c r="D246" s="1">
        <v>3</v>
      </c>
      <c r="E246" s="1">
        <v>48.117617599666097</v>
      </c>
      <c r="F246" s="1">
        <v>12.972459938377099</v>
      </c>
      <c r="G246" s="1">
        <v>3.0101305820979099E-2</v>
      </c>
      <c r="H246" s="1">
        <v>146.642439808696</v>
      </c>
      <c r="I246" s="1">
        <v>59.728078781627097</v>
      </c>
      <c r="J246" s="1">
        <v>1.5509170433506301E-4</v>
      </c>
      <c r="K246" s="2">
        <v>0.14560000000000001</v>
      </c>
      <c r="L246" s="1">
        <v>0.15720000000000001</v>
      </c>
      <c r="M246" s="1">
        <v>0.14480000000000001</v>
      </c>
    </row>
    <row r="247" spans="1:13" x14ac:dyDescent="0.2">
      <c r="A247" s="1" t="s">
        <v>164</v>
      </c>
      <c r="B247" s="1">
        <v>59</v>
      </c>
      <c r="C247" s="1" t="s">
        <v>73</v>
      </c>
      <c r="D247" s="1">
        <v>3</v>
      </c>
      <c r="E247" s="1">
        <v>48.117617599666097</v>
      </c>
      <c r="F247" s="1">
        <v>12.972459938377099</v>
      </c>
      <c r="G247" s="1">
        <v>3.0101305820979099E-2</v>
      </c>
      <c r="H247" s="1">
        <v>146.642439808696</v>
      </c>
      <c r="I247" s="1">
        <v>59.728078781627097</v>
      </c>
      <c r="J247" s="1">
        <v>1.5509170433506301E-4</v>
      </c>
      <c r="K247" s="2">
        <v>0.1338</v>
      </c>
      <c r="L247" s="1">
        <v>0.18160000000000001</v>
      </c>
      <c r="M247" s="1">
        <v>0.1792</v>
      </c>
    </row>
    <row r="248" spans="1:13" x14ac:dyDescent="0.2">
      <c r="A248" s="1" t="s">
        <v>164</v>
      </c>
      <c r="B248" s="1">
        <v>59</v>
      </c>
      <c r="C248" s="1" t="s">
        <v>74</v>
      </c>
      <c r="D248" s="1">
        <v>3</v>
      </c>
      <c r="E248" s="1">
        <v>48.117617599666097</v>
      </c>
      <c r="F248" s="1">
        <v>12.972459938377099</v>
      </c>
      <c r="G248" s="1">
        <v>3.0101305820979099E-2</v>
      </c>
      <c r="H248" s="1">
        <v>146.642439808696</v>
      </c>
      <c r="I248" s="1">
        <v>59.728078781627097</v>
      </c>
      <c r="J248" s="1">
        <v>1.5509170433506301E-4</v>
      </c>
      <c r="K248" s="2">
        <v>0.1966</v>
      </c>
      <c r="L248" s="1">
        <v>0.24260000000000001</v>
      </c>
      <c r="M248" s="1">
        <v>0.13370000000000001</v>
      </c>
    </row>
    <row r="249" spans="1:13" x14ac:dyDescent="0.2">
      <c r="A249" s="1" t="s">
        <v>164</v>
      </c>
      <c r="B249" s="1">
        <v>59</v>
      </c>
      <c r="C249" s="1" t="s">
        <v>75</v>
      </c>
      <c r="D249" s="1">
        <v>3</v>
      </c>
      <c r="E249" s="1">
        <v>48.117617599666097</v>
      </c>
      <c r="F249" s="1">
        <v>12.972459938377099</v>
      </c>
      <c r="G249" s="1">
        <v>3.0101305820979099E-2</v>
      </c>
      <c r="H249" s="1">
        <v>146.642439808696</v>
      </c>
      <c r="I249" s="1">
        <v>59.728078781627097</v>
      </c>
      <c r="J249" s="1">
        <v>1.5509170433506301E-4</v>
      </c>
      <c r="K249" s="2">
        <v>0.12759999999999999</v>
      </c>
      <c r="L249" s="1">
        <v>0.25409999999999999</v>
      </c>
      <c r="M249" s="1">
        <v>0.17510000000000001</v>
      </c>
    </row>
    <row r="250" spans="1:13" x14ac:dyDescent="0.2">
      <c r="A250" s="1" t="s">
        <v>165</v>
      </c>
      <c r="B250" s="1">
        <v>60</v>
      </c>
      <c r="C250" s="1" t="s">
        <v>77</v>
      </c>
      <c r="D250" s="1">
        <v>3</v>
      </c>
      <c r="E250" s="1">
        <v>31.3618233166635</v>
      </c>
      <c r="F250" s="1">
        <v>52.030771737918201</v>
      </c>
      <c r="G250" s="1">
        <v>5.0972423435002495E-2</v>
      </c>
      <c r="H250" s="1">
        <v>44.449166726320897</v>
      </c>
      <c r="I250" s="1">
        <v>67.157496842555702</v>
      </c>
      <c r="J250" s="1">
        <v>1.18539176578633E-3</v>
      </c>
      <c r="K250" s="2">
        <v>0.1482</v>
      </c>
      <c r="L250" s="1">
        <v>0.27789999999999998</v>
      </c>
      <c r="M250" s="1">
        <v>0.15690000000000001</v>
      </c>
    </row>
    <row r="251" spans="1:13" x14ac:dyDescent="0.2">
      <c r="A251" s="1" t="s">
        <v>165</v>
      </c>
      <c r="B251" s="1">
        <v>60</v>
      </c>
      <c r="C251" s="1" t="s">
        <v>78</v>
      </c>
      <c r="D251" s="1">
        <v>3</v>
      </c>
      <c r="E251" s="1">
        <v>31.3618233166635</v>
      </c>
      <c r="F251" s="1">
        <v>52.030771737918201</v>
      </c>
      <c r="G251" s="1">
        <v>5.0972423435002495E-2</v>
      </c>
      <c r="H251" s="1">
        <v>44.449166726320897</v>
      </c>
      <c r="I251" s="1">
        <v>67.157496842555702</v>
      </c>
      <c r="J251" s="1">
        <v>1.18539176578633E-3</v>
      </c>
      <c r="K251" s="2">
        <v>0.15759999999999999</v>
      </c>
      <c r="L251" s="1">
        <v>0.27460000000000001</v>
      </c>
      <c r="M251" s="1">
        <v>0.15859999999999999</v>
      </c>
    </row>
    <row r="252" spans="1:13" x14ac:dyDescent="0.2">
      <c r="A252" s="1" t="s">
        <v>165</v>
      </c>
      <c r="B252" s="1">
        <v>60</v>
      </c>
      <c r="C252" s="1" t="s">
        <v>79</v>
      </c>
      <c r="D252" s="1">
        <v>3</v>
      </c>
      <c r="E252" s="1">
        <v>31.3618233166635</v>
      </c>
      <c r="F252" s="1">
        <v>52.030771737918201</v>
      </c>
      <c r="G252" s="1">
        <v>5.0972423435002495E-2</v>
      </c>
      <c r="H252" s="1">
        <v>44.449166726320897</v>
      </c>
      <c r="I252" s="1">
        <v>67.157496842555702</v>
      </c>
      <c r="J252" s="1">
        <v>1.18539176578633E-3</v>
      </c>
      <c r="K252" s="2">
        <v>0.1555</v>
      </c>
      <c r="L252" s="1">
        <v>0.28050000000000003</v>
      </c>
      <c r="M252" s="1">
        <v>0.1648</v>
      </c>
    </row>
    <row r="253" spans="1:13" x14ac:dyDescent="0.2">
      <c r="A253" s="1" t="s">
        <v>165</v>
      </c>
      <c r="B253" s="1">
        <v>60</v>
      </c>
      <c r="C253" s="1" t="s">
        <v>80</v>
      </c>
      <c r="D253" s="1">
        <v>3</v>
      </c>
      <c r="E253" s="1">
        <v>31.3618233166635</v>
      </c>
      <c r="F253" s="1">
        <v>52.030771737918201</v>
      </c>
      <c r="G253" s="1">
        <v>5.0972423435002495E-2</v>
      </c>
      <c r="H253" s="1">
        <v>44.449166726320897</v>
      </c>
      <c r="I253" s="1">
        <v>67.157496842555702</v>
      </c>
      <c r="J253" s="1">
        <v>1.18539176578633E-3</v>
      </c>
      <c r="K253" s="2">
        <v>0.1888</v>
      </c>
      <c r="L253" s="1">
        <v>0.27360000000000001</v>
      </c>
      <c r="M253" s="1">
        <v>0.14119999999999999</v>
      </c>
    </row>
    <row r="254" spans="1:13" x14ac:dyDescent="0.2">
      <c r="A254" s="1" t="s">
        <v>166</v>
      </c>
      <c r="B254" s="1">
        <v>61</v>
      </c>
      <c r="C254" s="1" t="s">
        <v>82</v>
      </c>
      <c r="D254" s="1">
        <v>3</v>
      </c>
      <c r="E254" s="1">
        <v>6.2191432230174497</v>
      </c>
      <c r="F254" s="1">
        <v>2.5059074508026198</v>
      </c>
      <c r="G254" s="1">
        <v>9.3355115203373099E-2</v>
      </c>
      <c r="H254" s="1">
        <v>36.772408131509998</v>
      </c>
      <c r="I254" s="1">
        <v>61.6103098215535</v>
      </c>
      <c r="J254" s="1">
        <v>4.1454623548313899E-3</v>
      </c>
      <c r="K254" s="2">
        <v>0.30570000000000003</v>
      </c>
      <c r="L254" s="1">
        <v>0.73509999999999998</v>
      </c>
      <c r="M254" s="1">
        <v>1.2697000000000001</v>
      </c>
    </row>
    <row r="255" spans="1:13" x14ac:dyDescent="0.2">
      <c r="A255" s="1" t="s">
        <v>166</v>
      </c>
      <c r="B255" s="1">
        <v>61</v>
      </c>
      <c r="C255" s="1" t="s">
        <v>83</v>
      </c>
      <c r="D255" s="1">
        <v>3</v>
      </c>
      <c r="E255" s="1">
        <v>6.2191432230174497</v>
      </c>
      <c r="F255" s="1">
        <v>2.5059074508026198</v>
      </c>
      <c r="G255" s="1">
        <v>9.3355115203373099E-2</v>
      </c>
      <c r="H255" s="1">
        <v>36.772408131509998</v>
      </c>
      <c r="I255" s="1">
        <v>61.6103098215535</v>
      </c>
      <c r="J255" s="1">
        <v>4.1454623548313899E-3</v>
      </c>
      <c r="K255" s="2">
        <v>0.28179999999999999</v>
      </c>
      <c r="L255" s="1">
        <v>0.76739999999999997</v>
      </c>
      <c r="M255" s="1">
        <v>0.29039999999999999</v>
      </c>
    </row>
    <row r="256" spans="1:13" x14ac:dyDescent="0.2">
      <c r="A256" s="1" t="s">
        <v>166</v>
      </c>
      <c r="B256" s="1">
        <v>61</v>
      </c>
      <c r="C256" s="1" t="s">
        <v>84</v>
      </c>
      <c r="D256" s="1">
        <v>3</v>
      </c>
      <c r="E256" s="1">
        <v>6.2191432230174497</v>
      </c>
      <c r="F256" s="1">
        <v>2.5059074508026198</v>
      </c>
      <c r="G256" s="1">
        <v>9.3355115203373099E-2</v>
      </c>
      <c r="H256" s="1">
        <v>36.772408131509998</v>
      </c>
      <c r="I256" s="1">
        <v>61.6103098215535</v>
      </c>
      <c r="J256" s="1">
        <v>4.1454623548313899E-3</v>
      </c>
      <c r="K256" s="2">
        <v>0.32679999999999998</v>
      </c>
      <c r="L256" s="1">
        <v>0.70099999999999996</v>
      </c>
      <c r="M256" s="1">
        <v>0.55589999999999995</v>
      </c>
    </row>
    <row r="257" spans="1:13" x14ac:dyDescent="0.2">
      <c r="A257" s="1" t="s">
        <v>166</v>
      </c>
      <c r="B257" s="1">
        <v>61</v>
      </c>
      <c r="C257" s="1" t="s">
        <v>85</v>
      </c>
      <c r="D257" s="1">
        <v>3</v>
      </c>
      <c r="E257" s="1">
        <v>6.2191432230174497</v>
      </c>
      <c r="F257" s="1">
        <v>2.5059074508026198</v>
      </c>
      <c r="G257" s="1">
        <v>9.3355115203373099E-2</v>
      </c>
      <c r="H257" s="1">
        <v>36.772408131509998</v>
      </c>
      <c r="I257" s="1">
        <v>61.6103098215535</v>
      </c>
      <c r="J257" s="1">
        <v>4.1454623548313899E-3</v>
      </c>
      <c r="K257" s="2">
        <v>0.31559999999999999</v>
      </c>
      <c r="L257" s="1">
        <v>0.4874</v>
      </c>
      <c r="M257" s="1">
        <v>0.30530000000000002</v>
      </c>
    </row>
    <row r="258" spans="1:13" x14ac:dyDescent="0.2">
      <c r="A258" s="1" t="s">
        <v>167</v>
      </c>
      <c r="B258" s="1">
        <v>62</v>
      </c>
      <c r="C258" s="1" t="s">
        <v>87</v>
      </c>
      <c r="D258" s="1">
        <v>3</v>
      </c>
      <c r="E258" s="1">
        <v>7.3559230323880902</v>
      </c>
      <c r="F258" s="1">
        <v>4.2309097703546197</v>
      </c>
      <c r="G258" s="1">
        <v>2.7059117108583402E-3</v>
      </c>
      <c r="H258" s="1">
        <v>102.249141141027</v>
      </c>
      <c r="I258" s="1">
        <v>119.925209647044</v>
      </c>
      <c r="J258" s="1">
        <v>4.09243475738912E-3</v>
      </c>
      <c r="K258" s="2">
        <v>0.17469999999999999</v>
      </c>
      <c r="L258" s="1">
        <v>0.39479999999999998</v>
      </c>
      <c r="M258" s="1">
        <v>0.1847</v>
      </c>
    </row>
    <row r="259" spans="1:13" x14ac:dyDescent="0.2">
      <c r="A259" s="1" t="s">
        <v>167</v>
      </c>
      <c r="B259" s="1">
        <v>62</v>
      </c>
      <c r="C259" s="1" t="s">
        <v>88</v>
      </c>
      <c r="D259" s="1">
        <v>3</v>
      </c>
      <c r="E259" s="1">
        <v>7.3559230323880902</v>
      </c>
      <c r="F259" s="1">
        <v>4.2309097703546197</v>
      </c>
      <c r="G259" s="1">
        <v>2.7059117108583402E-3</v>
      </c>
      <c r="H259" s="1">
        <v>102.249141141027</v>
      </c>
      <c r="I259" s="1">
        <v>119.925209647044</v>
      </c>
      <c r="J259" s="1">
        <v>4.09243475738912E-3</v>
      </c>
      <c r="K259" s="2">
        <v>0.17430000000000001</v>
      </c>
      <c r="L259" s="1">
        <v>1.3019000000000001</v>
      </c>
      <c r="M259" s="1">
        <v>0.17799999999999999</v>
      </c>
    </row>
    <row r="260" spans="1:13" x14ac:dyDescent="0.2">
      <c r="A260" s="1" t="s">
        <v>167</v>
      </c>
      <c r="B260" s="1">
        <v>62</v>
      </c>
      <c r="C260" s="1" t="s">
        <v>89</v>
      </c>
      <c r="D260" s="1">
        <v>3</v>
      </c>
      <c r="E260" s="1">
        <v>7.3559230323880902</v>
      </c>
      <c r="F260" s="1">
        <v>4.2309097703546197</v>
      </c>
      <c r="G260" s="1">
        <v>2.7059117108583402E-3</v>
      </c>
      <c r="H260" s="1">
        <v>102.249141141027</v>
      </c>
      <c r="I260" s="1">
        <v>119.925209647044</v>
      </c>
      <c r="J260" s="1">
        <v>4.09243475738912E-3</v>
      </c>
      <c r="K260" s="2">
        <v>0.19350000000000001</v>
      </c>
      <c r="L260" s="1">
        <v>0.38840000000000002</v>
      </c>
      <c r="M260" s="1">
        <v>0.1784</v>
      </c>
    </row>
    <row r="261" spans="1:13" x14ac:dyDescent="0.2">
      <c r="A261" s="1" t="s">
        <v>167</v>
      </c>
      <c r="B261" s="1">
        <v>62</v>
      </c>
      <c r="C261" s="1" t="s">
        <v>90</v>
      </c>
      <c r="D261" s="1">
        <v>3</v>
      </c>
      <c r="E261" s="1">
        <v>7.3559230323880902</v>
      </c>
      <c r="F261" s="1">
        <v>4.2309097703546197</v>
      </c>
      <c r="G261" s="1">
        <v>2.7059117108583402E-3</v>
      </c>
      <c r="H261" s="1">
        <v>102.249141141027</v>
      </c>
      <c r="I261" s="1">
        <v>119.925209647044</v>
      </c>
      <c r="J261" s="1">
        <v>4.09243475738912E-3</v>
      </c>
      <c r="K261" s="2">
        <v>0.19520000000000001</v>
      </c>
      <c r="L261" s="1">
        <v>0.67579999999999996</v>
      </c>
      <c r="M261" s="1">
        <v>0.19900000000000001</v>
      </c>
    </row>
    <row r="262" spans="1:13" x14ac:dyDescent="0.2">
      <c r="A262" s="1" t="s">
        <v>168</v>
      </c>
      <c r="B262" s="1">
        <v>63</v>
      </c>
      <c r="C262" s="1" t="s">
        <v>92</v>
      </c>
      <c r="D262" s="1">
        <v>3</v>
      </c>
      <c r="E262" s="1">
        <v>32.157284346874803</v>
      </c>
      <c r="F262" s="1">
        <v>18.027513572946098</v>
      </c>
      <c r="G262" s="1">
        <v>6.3413257138617299E-2</v>
      </c>
      <c r="H262" s="1">
        <v>15.166614818572899</v>
      </c>
      <c r="I262" s="1">
        <v>42.667803559452203</v>
      </c>
      <c r="J262" s="1">
        <v>3.6612419183365999E-3</v>
      </c>
      <c r="K262" s="2">
        <v>0.26019999999999999</v>
      </c>
      <c r="L262" s="1">
        <v>0.58909999999999996</v>
      </c>
      <c r="M262" s="1">
        <v>0.59670000000000001</v>
      </c>
    </row>
    <row r="263" spans="1:13" x14ac:dyDescent="0.2">
      <c r="A263" s="1" t="s">
        <v>168</v>
      </c>
      <c r="B263" s="1">
        <v>63</v>
      </c>
      <c r="C263" s="1" t="s">
        <v>93</v>
      </c>
      <c r="D263" s="1">
        <v>3</v>
      </c>
      <c r="E263" s="1">
        <v>32.157284346874803</v>
      </c>
      <c r="F263" s="1">
        <v>18.027513572946098</v>
      </c>
      <c r="G263" s="1">
        <v>6.3413257138617299E-2</v>
      </c>
      <c r="H263" s="1">
        <v>15.166614818572899</v>
      </c>
      <c r="I263" s="1">
        <v>42.667803559452203</v>
      </c>
      <c r="J263" s="1">
        <v>3.6612419183365999E-3</v>
      </c>
      <c r="K263" s="2">
        <v>0.24590000000000001</v>
      </c>
      <c r="L263" s="1">
        <v>0.53759999999999997</v>
      </c>
      <c r="M263" s="1">
        <v>0.62680000000000002</v>
      </c>
    </row>
    <row r="264" spans="1:13" x14ac:dyDescent="0.2">
      <c r="A264" s="1" t="s">
        <v>168</v>
      </c>
      <c r="B264" s="1">
        <v>63</v>
      </c>
      <c r="C264" s="1" t="s">
        <v>94</v>
      </c>
      <c r="D264" s="1">
        <v>3</v>
      </c>
      <c r="E264" s="1">
        <v>32.157284346874803</v>
      </c>
      <c r="F264" s="1">
        <v>18.027513572946098</v>
      </c>
      <c r="G264" s="1">
        <v>6.3413257138617299E-2</v>
      </c>
      <c r="H264" s="1">
        <v>15.166614818572899</v>
      </c>
      <c r="I264" s="1">
        <v>42.667803559452203</v>
      </c>
      <c r="J264" s="1">
        <v>3.6612419183365999E-3</v>
      </c>
      <c r="K264" s="2">
        <v>0.31900000000000001</v>
      </c>
      <c r="L264" s="1">
        <v>0.61760000000000004</v>
      </c>
      <c r="M264" s="1">
        <v>0.25030000000000002</v>
      </c>
    </row>
    <row r="265" spans="1:13" x14ac:dyDescent="0.2">
      <c r="A265" s="1" t="s">
        <v>168</v>
      </c>
      <c r="B265" s="1">
        <v>63</v>
      </c>
      <c r="C265" s="1" t="s">
        <v>95</v>
      </c>
      <c r="D265" s="1">
        <v>3</v>
      </c>
      <c r="E265" s="1">
        <v>32.157284346874803</v>
      </c>
      <c r="F265" s="1">
        <v>18.027513572946098</v>
      </c>
      <c r="G265" s="1">
        <v>6.3413257138617299E-2</v>
      </c>
      <c r="H265" s="1">
        <v>15.166614818572899</v>
      </c>
      <c r="I265" s="1">
        <v>42.667803559452203</v>
      </c>
      <c r="J265" s="1">
        <v>3.6612419183365999E-3</v>
      </c>
      <c r="K265" s="2">
        <v>0.31409999999999999</v>
      </c>
      <c r="L265" s="1">
        <v>0.4229</v>
      </c>
      <c r="M265" s="1">
        <v>0.2104</v>
      </c>
    </row>
    <row r="266" spans="1:13" x14ac:dyDescent="0.2">
      <c r="A266" s="1" t="s">
        <v>169</v>
      </c>
      <c r="B266" s="1">
        <v>64</v>
      </c>
      <c r="C266" s="1" t="s">
        <v>97</v>
      </c>
      <c r="D266" s="1">
        <v>3</v>
      </c>
      <c r="E266" s="1">
        <v>19.8658963497728</v>
      </c>
      <c r="F266" s="1">
        <v>10.259144272655201</v>
      </c>
      <c r="G266" s="1">
        <v>1.88284068340435E-2</v>
      </c>
      <c r="H266" s="1">
        <v>85.868218082934604</v>
      </c>
      <c r="I266" s="1">
        <v>145.21344252861999</v>
      </c>
      <c r="J266" s="1">
        <v>2.20551500152796E-3</v>
      </c>
      <c r="K266" s="2">
        <v>0.1137</v>
      </c>
      <c r="L266" s="1">
        <v>0.33550000000000002</v>
      </c>
      <c r="M266" s="1">
        <v>0.21920000000000001</v>
      </c>
    </row>
    <row r="267" spans="1:13" x14ac:dyDescent="0.2">
      <c r="A267" s="1" t="s">
        <v>169</v>
      </c>
      <c r="B267" s="1">
        <v>64</v>
      </c>
      <c r="C267" s="1" t="s">
        <v>98</v>
      </c>
      <c r="D267" s="1">
        <v>3</v>
      </c>
      <c r="E267" s="1">
        <v>19.8658963497728</v>
      </c>
      <c r="F267" s="1">
        <v>10.259144272655201</v>
      </c>
      <c r="G267" s="1">
        <v>1.88284068340435E-2</v>
      </c>
      <c r="H267" s="1">
        <v>85.868218082934604</v>
      </c>
      <c r="I267" s="1">
        <v>145.21344252861999</v>
      </c>
      <c r="J267" s="1">
        <v>2.20551500152796E-3</v>
      </c>
      <c r="K267" s="2">
        <v>0.55279999999999996</v>
      </c>
      <c r="L267" s="1">
        <v>0.33760000000000001</v>
      </c>
      <c r="M267" s="1">
        <v>0.27350000000000002</v>
      </c>
    </row>
    <row r="268" spans="1:13" x14ac:dyDescent="0.2">
      <c r="A268" s="1" t="s">
        <v>169</v>
      </c>
      <c r="B268" s="1">
        <v>64</v>
      </c>
      <c r="C268" s="1" t="s">
        <v>99</v>
      </c>
      <c r="D268" s="1">
        <v>3</v>
      </c>
      <c r="E268" s="1">
        <v>19.8658963497728</v>
      </c>
      <c r="F268" s="1">
        <v>10.259144272655201</v>
      </c>
      <c r="G268" s="1">
        <v>1.88284068340435E-2</v>
      </c>
      <c r="H268" s="1">
        <v>85.868218082934604</v>
      </c>
      <c r="I268" s="1">
        <v>145.21344252861999</v>
      </c>
      <c r="J268" s="1">
        <v>2.20551500152796E-3</v>
      </c>
      <c r="K268" s="2">
        <v>0.14180000000000001</v>
      </c>
      <c r="L268" s="1">
        <v>0.35770000000000002</v>
      </c>
      <c r="M268" s="1">
        <v>0.2157</v>
      </c>
    </row>
    <row r="269" spans="1:13" x14ac:dyDescent="0.2">
      <c r="A269" s="1" t="s">
        <v>169</v>
      </c>
      <c r="B269" s="1">
        <v>64</v>
      </c>
      <c r="C269" s="1" t="s">
        <v>100</v>
      </c>
      <c r="D269" s="1">
        <v>3</v>
      </c>
      <c r="E269" s="1">
        <v>19.8658963497728</v>
      </c>
      <c r="F269" s="1">
        <v>10.259144272655201</v>
      </c>
      <c r="G269" s="1">
        <v>1.88284068340435E-2</v>
      </c>
      <c r="H269" s="1">
        <v>85.868218082934604</v>
      </c>
      <c r="I269" s="1">
        <v>145.21344252861999</v>
      </c>
      <c r="J269" s="1">
        <v>2.20551500152796E-3</v>
      </c>
      <c r="K269" s="2">
        <v>0.1517</v>
      </c>
      <c r="L269" s="1">
        <v>0.39889999999999998</v>
      </c>
      <c r="M269" s="1">
        <v>0.21149999999999999</v>
      </c>
    </row>
    <row r="270" spans="1:13" x14ac:dyDescent="0.2">
      <c r="A270" s="1" t="s">
        <v>170</v>
      </c>
      <c r="B270" s="1">
        <v>65</v>
      </c>
      <c r="C270" s="1" t="s">
        <v>102</v>
      </c>
      <c r="D270" s="1">
        <v>3</v>
      </c>
      <c r="E270" s="1">
        <v>28.830149116925799</v>
      </c>
      <c r="F270" s="1">
        <v>22.619126031175199</v>
      </c>
      <c r="G270" s="1">
        <v>8.5000907959975294E-2</v>
      </c>
      <c r="H270" s="1">
        <v>133.75969476774301</v>
      </c>
      <c r="I270" s="1">
        <v>111.986158210784</v>
      </c>
      <c r="J270" s="1">
        <v>1.1182506489567401E-4</v>
      </c>
      <c r="K270" s="2">
        <v>0.32179999999999997</v>
      </c>
      <c r="L270" s="1">
        <v>0.27560000000000001</v>
      </c>
      <c r="M270" s="1">
        <v>0.1852</v>
      </c>
    </row>
    <row r="271" spans="1:13" x14ac:dyDescent="0.2">
      <c r="A271" s="1" t="s">
        <v>170</v>
      </c>
      <c r="B271" s="1">
        <v>65</v>
      </c>
      <c r="C271" s="1" t="s">
        <v>103</v>
      </c>
      <c r="D271" s="1">
        <v>3</v>
      </c>
      <c r="E271" s="1">
        <v>28.830149116925799</v>
      </c>
      <c r="F271" s="1">
        <v>22.619126031175199</v>
      </c>
      <c r="G271" s="1">
        <v>8.5000907959975294E-2</v>
      </c>
      <c r="H271" s="1">
        <v>133.75969476774301</v>
      </c>
      <c r="I271" s="1">
        <v>111.986158210784</v>
      </c>
      <c r="J271" s="1">
        <v>1.1182506489567401E-4</v>
      </c>
      <c r="K271" s="2">
        <v>0.1273</v>
      </c>
      <c r="L271" s="1">
        <v>0.20649999999999999</v>
      </c>
      <c r="M271" s="1">
        <v>0.19500000000000001</v>
      </c>
    </row>
    <row r="272" spans="1:13" x14ac:dyDescent="0.2">
      <c r="A272" s="1" t="s">
        <v>170</v>
      </c>
      <c r="B272" s="1">
        <v>65</v>
      </c>
      <c r="C272" s="1" t="s">
        <v>104</v>
      </c>
      <c r="D272" s="1">
        <v>3</v>
      </c>
      <c r="E272" s="1">
        <v>28.830149116925799</v>
      </c>
      <c r="F272" s="1">
        <v>22.619126031175199</v>
      </c>
      <c r="G272" s="1">
        <v>8.5000907959975294E-2</v>
      </c>
      <c r="H272" s="1">
        <v>133.75969476774301</v>
      </c>
      <c r="I272" s="1">
        <v>111.986158210784</v>
      </c>
      <c r="J272" s="1">
        <v>1.1182506489567401E-4</v>
      </c>
      <c r="K272" s="2">
        <v>0.17299999999999999</v>
      </c>
      <c r="L272" s="1">
        <v>0.25</v>
      </c>
      <c r="M272" s="1">
        <v>0.1915</v>
      </c>
    </row>
    <row r="273" spans="1:13" x14ac:dyDescent="0.2">
      <c r="A273" s="1" t="s">
        <v>170</v>
      </c>
      <c r="B273" s="1">
        <v>65</v>
      </c>
      <c r="C273" s="1" t="s">
        <v>105</v>
      </c>
      <c r="D273" s="1">
        <v>3</v>
      </c>
      <c r="E273" s="1">
        <v>28.830149116925799</v>
      </c>
      <c r="F273" s="1">
        <v>22.619126031175199</v>
      </c>
      <c r="G273" s="1">
        <v>8.5000907959975294E-2</v>
      </c>
      <c r="H273" s="1">
        <v>133.75969476774301</v>
      </c>
      <c r="I273" s="1">
        <v>111.986158210784</v>
      </c>
      <c r="J273" s="1">
        <v>1.1182506489567401E-4</v>
      </c>
      <c r="K273" s="2">
        <v>0.11600000000000001</v>
      </c>
      <c r="L273" s="1">
        <v>0.2198</v>
      </c>
      <c r="M273" s="1">
        <v>0.2208</v>
      </c>
    </row>
    <row r="274" spans="1:13" x14ac:dyDescent="0.2">
      <c r="A274" s="1" t="s">
        <v>171</v>
      </c>
      <c r="B274" s="1">
        <v>66</v>
      </c>
      <c r="C274" s="1" t="s">
        <v>107</v>
      </c>
      <c r="D274" s="1">
        <v>3</v>
      </c>
      <c r="E274" s="1">
        <v>23.529554527252898</v>
      </c>
      <c r="F274" s="1">
        <v>2.2522841617465001</v>
      </c>
      <c r="G274" s="1">
        <v>5.5161624163575396E-2</v>
      </c>
      <c r="H274" s="1">
        <v>122.557504485547</v>
      </c>
      <c r="I274" s="1">
        <v>32.619013390503802</v>
      </c>
      <c r="J274" s="1">
        <v>4.6132452363148307E-3</v>
      </c>
      <c r="K274" s="2">
        <v>0.61439999999999995</v>
      </c>
      <c r="L274" s="1">
        <v>0.29310000000000003</v>
      </c>
      <c r="M274" s="1">
        <v>0.25969999999999999</v>
      </c>
    </row>
    <row r="275" spans="1:13" x14ac:dyDescent="0.2">
      <c r="A275" s="1" t="s">
        <v>171</v>
      </c>
      <c r="B275" s="1">
        <v>66</v>
      </c>
      <c r="C275" s="1" t="s">
        <v>108</v>
      </c>
      <c r="D275" s="1">
        <v>3</v>
      </c>
      <c r="E275" s="1">
        <v>23.529554527252898</v>
      </c>
      <c r="F275" s="1">
        <v>2.2522841617465001</v>
      </c>
      <c r="G275" s="1">
        <v>5.5161624163575396E-2</v>
      </c>
      <c r="H275" s="1">
        <v>122.557504485547</v>
      </c>
      <c r="I275" s="1">
        <v>32.619013390503802</v>
      </c>
      <c r="J275" s="1">
        <v>4.6132452363148307E-3</v>
      </c>
      <c r="K275" s="2">
        <v>0.1414</v>
      </c>
      <c r="L275" s="1">
        <v>0.36630000000000001</v>
      </c>
      <c r="M275" s="1">
        <v>0.2041</v>
      </c>
    </row>
    <row r="276" spans="1:13" x14ac:dyDescent="0.2">
      <c r="A276" s="1" t="s">
        <v>171</v>
      </c>
      <c r="B276" s="1">
        <v>66</v>
      </c>
      <c r="C276" s="1" t="s">
        <v>109</v>
      </c>
      <c r="D276" s="1">
        <v>3</v>
      </c>
      <c r="E276" s="1">
        <v>23.529554527252898</v>
      </c>
      <c r="F276" s="1">
        <v>2.2522841617465001</v>
      </c>
      <c r="G276" s="1">
        <v>5.5161624163575396E-2</v>
      </c>
      <c r="H276" s="1">
        <v>122.557504485547</v>
      </c>
      <c r="I276" s="1">
        <v>32.619013390503802</v>
      </c>
      <c r="J276" s="1">
        <v>4.6132452363148307E-3</v>
      </c>
      <c r="K276" s="2">
        <v>0.10630000000000001</v>
      </c>
      <c r="L276" s="1">
        <v>0.28270000000000001</v>
      </c>
      <c r="M276" s="1">
        <v>0.2586</v>
      </c>
    </row>
    <row r="277" spans="1:13" x14ac:dyDescent="0.2">
      <c r="A277" s="1" t="s">
        <v>171</v>
      </c>
      <c r="B277" s="1">
        <v>66</v>
      </c>
      <c r="C277" s="1" t="s">
        <v>110</v>
      </c>
      <c r="D277" s="1">
        <v>3</v>
      </c>
      <c r="E277" s="1">
        <v>23.529554527252898</v>
      </c>
      <c r="F277" s="1">
        <v>2.2522841617465001</v>
      </c>
      <c r="G277" s="1">
        <v>5.5161624163575396E-2</v>
      </c>
      <c r="H277" s="1">
        <v>122.557504485547</v>
      </c>
      <c r="I277" s="1">
        <v>32.619013390503802</v>
      </c>
      <c r="J277" s="1">
        <v>4.6132452363148307E-3</v>
      </c>
      <c r="K277" s="2">
        <v>0.13109999999999999</v>
      </c>
      <c r="L277" s="1">
        <v>0.3306</v>
      </c>
      <c r="M277" s="1">
        <v>0.30059999999999998</v>
      </c>
    </row>
    <row r="278" spans="1:13" x14ac:dyDescent="0.2">
      <c r="A278" s="1" t="s">
        <v>172</v>
      </c>
      <c r="B278" s="1">
        <v>67</v>
      </c>
      <c r="C278" s="1" t="s">
        <v>112</v>
      </c>
      <c r="D278" s="1">
        <v>3</v>
      </c>
      <c r="E278" s="1">
        <v>13.492973861750199</v>
      </c>
      <c r="F278" s="1">
        <v>28.980736893601701</v>
      </c>
      <c r="G278" s="1">
        <v>6.1921070287376603E-2</v>
      </c>
      <c r="H278" s="1">
        <v>52.232785188406702</v>
      </c>
      <c r="I278" s="1">
        <v>143.20291908457801</v>
      </c>
      <c r="J278" s="1">
        <v>2.0569009845610698E-3</v>
      </c>
      <c r="K278" s="2">
        <v>0.22209999999999999</v>
      </c>
      <c r="L278" s="1">
        <v>0.61599999999999999</v>
      </c>
      <c r="M278" s="1">
        <v>0.13589999999999999</v>
      </c>
    </row>
    <row r="279" spans="1:13" x14ac:dyDescent="0.2">
      <c r="A279" s="1" t="s">
        <v>172</v>
      </c>
      <c r="B279" s="1">
        <v>67</v>
      </c>
      <c r="C279" s="1" t="s">
        <v>113</v>
      </c>
      <c r="D279" s="1">
        <v>3</v>
      </c>
      <c r="E279" s="1">
        <v>13.492973861750199</v>
      </c>
      <c r="F279" s="1">
        <v>28.980736893601701</v>
      </c>
      <c r="G279" s="1">
        <v>6.1921070287376603E-2</v>
      </c>
      <c r="H279" s="1">
        <v>52.232785188406702</v>
      </c>
      <c r="I279" s="1">
        <v>143.20291908457801</v>
      </c>
      <c r="J279" s="1">
        <v>2.0569009845610698E-3</v>
      </c>
      <c r="K279" s="2">
        <v>0.15840000000000001</v>
      </c>
      <c r="L279" s="1">
        <v>0.43430000000000002</v>
      </c>
      <c r="M279" s="1">
        <v>0.1391</v>
      </c>
    </row>
    <row r="280" spans="1:13" x14ac:dyDescent="0.2">
      <c r="A280" s="1" t="s">
        <v>172</v>
      </c>
      <c r="B280" s="1">
        <v>67</v>
      </c>
      <c r="C280" s="1" t="s">
        <v>114</v>
      </c>
      <c r="D280" s="1">
        <v>3</v>
      </c>
      <c r="E280" s="1">
        <v>13.492973861750199</v>
      </c>
      <c r="F280" s="1">
        <v>28.980736893601701</v>
      </c>
      <c r="G280" s="1">
        <v>6.1921070287376603E-2</v>
      </c>
      <c r="H280" s="1">
        <v>52.232785188406702</v>
      </c>
      <c r="I280" s="1">
        <v>143.20291908457801</v>
      </c>
      <c r="J280" s="1">
        <v>2.0569009845610698E-3</v>
      </c>
      <c r="K280" s="2">
        <v>0.1603</v>
      </c>
      <c r="L280" s="1">
        <v>0.3261</v>
      </c>
      <c r="M280" s="1">
        <v>0.14319999999999999</v>
      </c>
    </row>
    <row r="281" spans="1:13" x14ac:dyDescent="0.2">
      <c r="A281" s="1" t="s">
        <v>172</v>
      </c>
      <c r="B281" s="1">
        <v>67</v>
      </c>
      <c r="C281" s="1" t="s">
        <v>115</v>
      </c>
      <c r="D281" s="1">
        <v>3</v>
      </c>
      <c r="E281" s="1">
        <v>13.492973861750199</v>
      </c>
      <c r="F281" s="1">
        <v>28.980736893601701</v>
      </c>
      <c r="G281" s="1">
        <v>6.1921070287376603E-2</v>
      </c>
      <c r="H281" s="1">
        <v>52.232785188406702</v>
      </c>
      <c r="I281" s="1">
        <v>143.20291908457801</v>
      </c>
      <c r="J281" s="1">
        <v>2.0569009845610698E-3</v>
      </c>
      <c r="K281" s="2">
        <v>0.1419</v>
      </c>
      <c r="L281" s="1">
        <v>0.26629999999999998</v>
      </c>
      <c r="M281" s="1">
        <v>0.15329999999999999</v>
      </c>
    </row>
    <row r="282" spans="1:13" x14ac:dyDescent="0.2">
      <c r="A282" s="1" t="s">
        <v>173</v>
      </c>
      <c r="B282" s="1">
        <v>68</v>
      </c>
      <c r="C282" s="1" t="s">
        <v>117</v>
      </c>
      <c r="D282" s="1">
        <v>3</v>
      </c>
      <c r="E282" s="1">
        <v>42.0679512666538</v>
      </c>
      <c r="F282" s="1">
        <v>12.792507316917099</v>
      </c>
      <c r="G282" s="1">
        <v>7.9746014408208402E-2</v>
      </c>
      <c r="H282" s="1">
        <v>111.026779373735</v>
      </c>
      <c r="I282" s="1">
        <v>147.23879980389</v>
      </c>
      <c r="J282" s="1">
        <v>4.2490376027300896E-3</v>
      </c>
      <c r="K282" s="2">
        <v>0.1021</v>
      </c>
      <c r="L282" s="1">
        <v>0.192</v>
      </c>
      <c r="M282" s="1">
        <v>0.39700000000000002</v>
      </c>
    </row>
    <row r="283" spans="1:13" x14ac:dyDescent="0.2">
      <c r="A283" s="1" t="s">
        <v>173</v>
      </c>
      <c r="B283" s="1">
        <v>68</v>
      </c>
      <c r="C283" s="1" t="s">
        <v>118</v>
      </c>
      <c r="D283" s="1">
        <v>3</v>
      </c>
      <c r="E283" s="1">
        <v>42.0679512666538</v>
      </c>
      <c r="F283" s="1">
        <v>12.792507316917099</v>
      </c>
      <c r="G283" s="1">
        <v>7.9746014408208402E-2</v>
      </c>
      <c r="H283" s="1">
        <v>111.026779373735</v>
      </c>
      <c r="I283" s="1">
        <v>147.23879980389</v>
      </c>
      <c r="J283" s="1">
        <v>4.2490376027300896E-3</v>
      </c>
      <c r="K283" s="2">
        <v>9.1600000000000001E-2</v>
      </c>
      <c r="L283" s="1">
        <v>0.18340000000000001</v>
      </c>
      <c r="M283" s="1">
        <v>0.39639999999999997</v>
      </c>
    </row>
    <row r="284" spans="1:13" x14ac:dyDescent="0.2">
      <c r="A284" s="1" t="s">
        <v>173</v>
      </c>
      <c r="B284" s="1">
        <v>68</v>
      </c>
      <c r="C284" s="1" t="s">
        <v>119</v>
      </c>
      <c r="D284" s="1">
        <v>3</v>
      </c>
      <c r="E284" s="1">
        <v>42.0679512666538</v>
      </c>
      <c r="F284" s="1">
        <v>12.792507316917099</v>
      </c>
      <c r="G284" s="1">
        <v>7.9746014408208402E-2</v>
      </c>
      <c r="H284" s="1">
        <v>111.026779373735</v>
      </c>
      <c r="I284" s="1">
        <v>147.23879980389</v>
      </c>
      <c r="J284" s="1">
        <v>4.2490376027300896E-3</v>
      </c>
      <c r="K284" s="2">
        <v>0.1371</v>
      </c>
      <c r="L284" s="1">
        <v>0.2215</v>
      </c>
      <c r="M284" s="1">
        <v>0.4163</v>
      </c>
    </row>
    <row r="285" spans="1:13" x14ac:dyDescent="0.2">
      <c r="A285" s="1" t="s">
        <v>173</v>
      </c>
      <c r="B285" s="1">
        <v>68</v>
      </c>
      <c r="C285" s="1" t="s">
        <v>120</v>
      </c>
      <c r="D285" s="1">
        <v>3</v>
      </c>
      <c r="E285" s="1">
        <v>42.0679512666538</v>
      </c>
      <c r="F285" s="1">
        <v>12.792507316917099</v>
      </c>
      <c r="G285" s="1">
        <v>7.9746014408208402E-2</v>
      </c>
      <c r="H285" s="1">
        <v>111.026779373735</v>
      </c>
      <c r="I285" s="1">
        <v>147.23879980389</v>
      </c>
      <c r="J285" s="1">
        <v>4.2490376027300896E-3</v>
      </c>
      <c r="K285" s="2">
        <v>0.1099</v>
      </c>
      <c r="L285" s="1">
        <v>0.21790000000000001</v>
      </c>
      <c r="M285" s="1">
        <v>0.44140000000000001</v>
      </c>
    </row>
    <row r="286" spans="1:13" x14ac:dyDescent="0.2">
      <c r="A286" s="1" t="s">
        <v>174</v>
      </c>
      <c r="B286" s="1">
        <v>69</v>
      </c>
      <c r="C286" s="1" t="s">
        <v>122</v>
      </c>
      <c r="D286" s="1">
        <v>3</v>
      </c>
      <c r="E286" s="1">
        <v>41.508473412133696</v>
      </c>
      <c r="F286" s="1">
        <v>42.037968767806802</v>
      </c>
      <c r="G286" s="1">
        <v>8.6132179293222699E-2</v>
      </c>
      <c r="H286" s="1">
        <v>3.4660406194627198</v>
      </c>
      <c r="I286" s="1">
        <v>100.56149565149001</v>
      </c>
      <c r="J286" s="1">
        <v>4.9755465786904098E-3</v>
      </c>
      <c r="K286" s="2">
        <v>0.1782</v>
      </c>
      <c r="L286" s="1">
        <v>0.19009999999999999</v>
      </c>
      <c r="M286" s="1">
        <v>0.27089999999999997</v>
      </c>
    </row>
    <row r="287" spans="1:13" x14ac:dyDescent="0.2">
      <c r="A287" s="1" t="s">
        <v>174</v>
      </c>
      <c r="B287" s="1">
        <v>69</v>
      </c>
      <c r="C287" s="1" t="s">
        <v>123</v>
      </c>
      <c r="D287" s="1">
        <v>3</v>
      </c>
      <c r="E287" s="1">
        <v>41.508473412133696</v>
      </c>
      <c r="F287" s="1">
        <v>42.037968767806802</v>
      </c>
      <c r="G287" s="1">
        <v>8.6132179293222699E-2</v>
      </c>
      <c r="H287" s="1">
        <v>3.4660406194627198</v>
      </c>
      <c r="I287" s="1">
        <v>100.56149565149001</v>
      </c>
      <c r="J287" s="1">
        <v>4.9755465786904098E-3</v>
      </c>
      <c r="K287" s="2">
        <v>0.188</v>
      </c>
      <c r="L287" s="1">
        <v>0.36909999999999998</v>
      </c>
      <c r="M287" s="1">
        <v>0.27789999999999998</v>
      </c>
    </row>
    <row r="288" spans="1:13" x14ac:dyDescent="0.2">
      <c r="A288" s="1" t="s">
        <v>174</v>
      </c>
      <c r="B288" s="1">
        <v>69</v>
      </c>
      <c r="C288" s="1" t="s">
        <v>124</v>
      </c>
      <c r="D288" s="1">
        <v>3</v>
      </c>
      <c r="E288" s="1">
        <v>41.508473412133696</v>
      </c>
      <c r="F288" s="1">
        <v>42.037968767806802</v>
      </c>
      <c r="G288" s="1">
        <v>8.6132179293222699E-2</v>
      </c>
      <c r="H288" s="1">
        <v>3.4660406194627198</v>
      </c>
      <c r="I288" s="1">
        <v>100.56149565149001</v>
      </c>
      <c r="J288" s="1">
        <v>4.9755465786904098E-3</v>
      </c>
      <c r="K288" s="2">
        <v>0.16639999999999999</v>
      </c>
      <c r="L288" s="1">
        <v>0.24479999999999999</v>
      </c>
      <c r="M288" s="1">
        <v>0.3221</v>
      </c>
    </row>
    <row r="289" spans="1:13" x14ac:dyDescent="0.2">
      <c r="A289" s="1" t="s">
        <v>174</v>
      </c>
      <c r="B289" s="1">
        <v>69</v>
      </c>
      <c r="C289" s="3" t="s">
        <v>125</v>
      </c>
      <c r="D289" s="1">
        <v>3</v>
      </c>
      <c r="E289" s="1">
        <v>41.508473412133696</v>
      </c>
      <c r="F289" s="1">
        <v>42.037968767806802</v>
      </c>
      <c r="G289" s="1">
        <v>8.6132179293222699E-2</v>
      </c>
      <c r="H289" s="1">
        <v>3.4660406194627198</v>
      </c>
      <c r="I289" s="1">
        <v>100.56149565149001</v>
      </c>
      <c r="J289" s="1">
        <v>4.9755465786904098E-3</v>
      </c>
      <c r="K289" s="2">
        <v>0.2954</v>
      </c>
      <c r="L289" s="1">
        <v>0.36309999999999998</v>
      </c>
      <c r="M289" s="1">
        <v>0.3211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2026-02-10T01:18:42Z</cp:lastPrinted>
  <dcterms:created xsi:type="dcterms:W3CDTF">2026-02-09T23:30:58Z</dcterms:created>
  <dcterms:modified xsi:type="dcterms:W3CDTF">2026-02-18T04:29:05Z</dcterms:modified>
</cp:coreProperties>
</file>